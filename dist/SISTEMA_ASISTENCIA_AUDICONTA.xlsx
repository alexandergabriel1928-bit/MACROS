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MENU" sheetId="1" state="visible" r:id="rId1"/>
    <sheet name="CONFIG" sheetId="2" state="visible" r:id="rId2"/>
    <sheet name="PERSONAL" sheetId="3" state="visible" r:id="rId3"/>
    <sheet name="HORARIOS" sheetId="4" state="visible" r:id="rId4"/>
    <sheet name="CALENDARIO" sheetId="5" state="visible" r:id="rId5"/>
    <sheet name="CATALOGO_ESTADOS" sheetId="6" state="visible" r:id="rId6"/>
    <sheet name="DATA_HUELLERO" sheetId="7" state="visible" r:id="rId7"/>
    <sheet name="PROCESO" sheetId="8" state="visible" r:id="rId8"/>
    <sheet name="REPORTE DIARIO" sheetId="9" state="visible" r:id="rId9"/>
    <sheet name="CONSOLIDADO" sheetId="10" state="visible" r:id="rId10"/>
    <sheet name="CUADRO_GENERAL" sheetId="11" state="visible" r:id="rId11"/>
    <sheet name="INCIDENCIAS" sheetId="12" state="visible" r:id="rId12"/>
    <sheet name="AUDITORIA" sheetId="13" state="visible" r:id="rId13"/>
    <sheet name="ALERTAS" sheetId="14" state="visible" r:id="rId14"/>
    <sheet name="HISTORICO_MENSUAL" sheetId="15" state="visible" r:id="rId15"/>
    <sheet name="LOG_ERRORES" sheetId="16" state="visible" r:id="rId16"/>
  </sheets>
  <definedNames>
    <definedName name="dash_PERSONAL_ACTIVO">'01_MENU'!$H$7</definedName>
    <definedName name="dash_PRESENTES_HOY">'01_MENU'!$H$8</definedName>
    <definedName name="dash_PUNTUALES">'01_MENU'!$H$9</definedName>
    <definedName name="dash_TARDANZAS">'01_MENU'!$H$10</definedName>
    <definedName name="dash_FALTAS">'01_MENU'!$H$11</definedName>
    <definedName name="dash_INCIDENCIAS">'01_MENU'!$H$12</definedName>
    <definedName name="dash_PENDIENTES">'01_MENU'!$H$13</definedName>
    <definedName name="dash_PCT_PUNTUALIDAD">'01_MENU'!$H$14</definedName>
    <definedName name="dash_PCT_ASISTENCIA">'01_MENU'!$H$15</definedName>
    <definedName name="dash_PERIODO_ACTIVO">'01_MENU'!$H$16</definedName>
    <definedName name="dash_ESTADO_PERIODO">'01_MENU'!$H$17</definedName>
    <definedName name="cfg_Empresa">'CONFIG'!$B$5</definedName>
    <definedName name="cfg_RUC">'CONFIG'!$B$6</definedName>
    <definedName name="cfg_Direccion">'CONFIG'!$B$7</definedName>
    <definedName name="cfg_Celulares">'CONFIG'!$B$8</definedName>
    <definedName name="cfg_Correo">'CONFIG'!$B$9</definedName>
    <definedName name="cfg_AreaSede">'CONFIG'!$B$10</definedName>
    <definedName name="cfg_Responsable">'CONFIG'!$B$11</definedName>
    <definedName name="cfg_Gerente">'CONFIG'!$B$12</definedName>
    <definedName name="cfg_DNIGerente">'CONFIG'!$B$13</definedName>
    <definedName name="cfg_CodFormato">'CONFIG'!$B$14</definedName>
    <definedName name="cfg_Version">'CONFIG'!$B$15</definedName>
    <definedName name="cfg_EntLun">'CONFIG'!$B$18</definedName>
    <definedName name="cfg_EntMar">'CONFIG'!$B$19</definedName>
    <definedName name="cfg_EntMie">'CONFIG'!$B$20</definedName>
    <definedName name="cfg_EntJue">'CONFIG'!$B$21</definedName>
    <definedName name="cfg_EntVie">'CONFIG'!$B$22</definedName>
    <definedName name="cfg_EntSab">'CONFIG'!$B$23</definedName>
    <definedName name="cfg_EntDom">'CONFIG'!$B$24</definedName>
    <definedName name="cfg_TolMin">'CONFIG'!$B$27</definedName>
    <definedName name="cfg_EntTarde">'CONFIG'!$B$28</definedName>
    <definedName name="cfg_TolTardeMin">'CONFIG'!$B$29</definedName>
    <definedName name="cfg_SalAlmuerzo">'CONFIG'!$B$30</definedName>
    <definedName name="cfg_SalTarde">'CONFIG'!$B$31</definedName>
    <definedName name="cfg_FechaTrabajo">'CONFIG'!$B$34</definedName>
    <definedName name="cfg_PeriodoMes">'CONFIG'!$B$35</definedName>
    <definedName name="cfg_PeriodoAnio">'CONFIG'!$B$36</definedName>
    <definedName name="cfg_EstadoPeriodo">'CONFIG'!$B$37</definedName>
    <definedName name="cfg_RutaBackup">'CONFIG'!$B$40</definedName>
    <definedName name="cfg_MaxRegistros">'CONFIG'!$B$41</definedName>
    <definedName name="cfg_AplicarDesc">'CONFIG'!$B$44</definedName>
    <definedName name="cfg_DiasMesRD">'CONFIG'!$B$45</definedName>
    <definedName name="cfg_DescTardanzaPct">'CONFIG'!$B$46</definedName>
    <definedName name="cfg_DescFaltaRD">'CONFIG'!$B$47</definedName>
    <definedName name="cfg_DescSuspRD">'CONFIG'!$B$48</definedName>
    <definedName name="cfg_DescNoFirmaPct">'CONFIG'!$B$49</definedName>
    <definedName name="rng_Personal">'PERSONAL'!$A$3:$N$61</definedName>
    <definedName name="rng_PersonalUlt">'PERSONAL'!$A$61</definedName>
    <definedName name="rng_Catalogo">'CATALOGO_ESTADOS'!$A$3:$H$18</definedName>
    <definedName name="rng_Observaciones">'CATALOGO_ESTADOS'!$J$3:$J$13</definedName>
    <definedName name="rng_Condiciones">'CATALOGO_ESTADOS'!$L$3:$L$17</definedName>
    <definedName name="rng_Horarios">'HORARIOS'!$A$3:$J$62</definedName>
    <definedName name="rng_Calendario">'CALENDARIO'!$A$3:$D$77</definedName>
    <definedName name="rng_DataHead">'DATA_HUELLERO'!$A$1:$M$1</definedName>
    <definedName name="rng_ProcHead">'PROCESO'!$A$1:$S$1</definedName>
    <definedName name="rng_RepDiarioIni">'REPORTE DIARIO'!$B$13</definedName>
    <definedName name="rng_ConsolidadoIni">'CONSOLIDADO'!$A$4</definedName>
    <definedName name="rng_Incidencias">'INCIDENCIAS'!$A$3:$H$202</definedName>
    <definedName name="rng_AuditHead">'AUDITORIA'!$A$1:$I$1</definedName>
    <definedName name="rng_AlertasHead">'ALERTAS'!$A$2:$E$2</definedName>
    <definedName name="rng_HistHead">'HISTORICO_MENSUAL'!$A$1:$S$1</definedName>
    <definedName name="rng_LogHead">'LOG_ERRORES'!$A$1:$F$1</definedName>
    <definedName name="_xlnm.Print_Area" localSheetId="8">'REPORTE DIARIO'!$A$1:$I$45</definedName>
    <definedName name="_xlnm.Print_Area" localSheetId="9">'CONSOLIDADO'!$A$1:$R$60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HH:MM:SS"/>
    <numFmt numFmtId="165" formatCode="yyyy-mm-dd"/>
    <numFmt numFmtId="166" formatCode="DD/MM/YYYY"/>
    <numFmt numFmtId="167" formatCode="DD/MM/YYYY HH:MM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i val="1"/>
      <color rgb="00808080"/>
      <sz val="9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2"/>
    </font>
    <font>
      <name val="Calibri"/>
      <i val="1"/>
      <color rgb="009C0006"/>
      <sz val="9"/>
    </font>
    <font>
      <name val="Calibri"/>
      <b val="1"/>
      <color rgb="001F4E79"/>
      <sz val="16"/>
    </font>
    <font>
      <name val="Calibri"/>
      <b val="1"/>
      <color rgb="00FFFFFF"/>
      <sz val="14"/>
    </font>
    <font>
      <name val="Calibri"/>
      <b val="1"/>
      <color rgb="00000000"/>
      <sz val="9"/>
    </font>
    <font>
      <name val="Calibri"/>
      <color rgb="00000000"/>
      <sz val="8"/>
    </font>
    <font>
      <name val="Calibri"/>
      <i val="1"/>
      <color rgb="00808080"/>
      <sz val="8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i val="1"/>
      <color rgb="00404040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546A"/>
      </patternFill>
    </fill>
    <fill>
      <patternFill patternType="solid">
        <fgColor rgb="00FFD96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2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0" fillId="7" borderId="0" applyAlignment="1" applyProtection="1" pivotButton="0" quotePrefix="0" xfId="0">
      <alignment horizontal="left" vertical="center" wrapText="1"/>
      <protection locked="0" hidden="0"/>
    </xf>
    <xf numFmtId="164" fontId="0" fillId="7" borderId="0" applyAlignment="1" applyProtection="1" pivotButton="0" quotePrefix="0" xfId="0">
      <alignment horizontal="left" vertical="center" wrapText="1"/>
      <protection locked="0" hidden="0"/>
    </xf>
    <xf numFmtId="0" fontId="3" fillId="0" borderId="0" applyAlignment="1" pivotButton="0" quotePrefix="0" xfId="0">
      <alignment horizontal="left" vertical="center" wrapText="1"/>
    </xf>
    <xf numFmtId="166" fontId="0" fillId="7" borderId="0" applyAlignment="1" applyProtection="1" pivotButton="0" quotePrefix="0" xfId="0">
      <alignment horizontal="left" vertical="center" wrapText="1"/>
      <protection locked="0" hidden="0"/>
    </xf>
    <xf numFmtId="0" fontId="4" fillId="4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left" vertical="center" wrapText="1"/>
    </xf>
    <xf numFmtId="166" fontId="6" fillId="0" borderId="1" applyAlignment="1" pivotButton="0" quotePrefix="0" xfId="0">
      <alignment horizontal="left" vertical="center" wrapText="1"/>
    </xf>
    <xf numFmtId="0" fontId="6" fillId="0" borderId="1" pivotButton="0" quotePrefix="0" xfId="0"/>
    <xf numFmtId="49" fontId="6" fillId="0" borderId="1" pivotButton="0" quotePrefix="0" xfId="0"/>
    <xf numFmtId="0" fontId="3" fillId="0" borderId="0" pivotButton="0" quotePrefix="0" xfId="0"/>
    <xf numFmtId="164" fontId="6" fillId="0" borderId="1" pivotButton="0" quotePrefix="0" xfId="0"/>
    <xf numFmtId="166" fontId="6" fillId="0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167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0" customWidth="1" min="3" max="3"/>
    <col width="30" customWidth="1" min="4" max="4"/>
    <col width="30" customWidth="1" min="5" max="5"/>
    <col width="2" customWidth="1" min="6" max="6"/>
    <col width="34" customWidth="1" min="7" max="7"/>
    <col width="14" customWidth="1" min="8" max="8"/>
  </cols>
  <sheetData>
    <row r="2" ht="40" customHeight="1">
      <c r="B2" s="1" t="inlineStr">
        <is>
          <t>SISTEMA MAESTRO DE CONTROL DE ASISTENCIA</t>
        </is>
      </c>
    </row>
    <row r="3">
      <c r="B3" s="2" t="inlineStr">
        <is>
          <t>AUDICONTA PERU E.I.R.L.   -   RUC 20568153414   -   F-RH-01 v01</t>
        </is>
      </c>
    </row>
    <row r="4" ht="26" customHeight="1">
      <c r="B4" s="3" t="inlineStr">
        <is>
          <t>Los botones del menu se crean automaticamente al ejecutar la macro INSTALAR (ver INSTALACION.md). Mientras tanto use Alt+F8 para ejecutar las macros.</t>
        </is>
      </c>
    </row>
    <row r="6">
      <c r="B6" s="4" t="inlineStr">
        <is>
          <t>BOTON</t>
        </is>
      </c>
      <c r="C6" s="4" t="inlineStr">
        <is>
          <t>MACRO (Alt+F8)</t>
        </is>
      </c>
      <c r="G6" s="5" t="inlineStr">
        <is>
          <t>TABLERO (se actualiza al procesar)</t>
        </is>
      </c>
    </row>
    <row r="7" ht="22" customHeight="1">
      <c r="B7" s="6" t="inlineStr">
        <is>
          <t>IMPORTAR HUELLERO</t>
        </is>
      </c>
      <c r="C7" s="7" t="inlineStr">
        <is>
          <t>IMPORTAR_HUELLERO</t>
        </is>
      </c>
      <c r="G7" s="8" t="inlineStr">
        <is>
          <t>PERSONAL ACTIVO:</t>
        </is>
      </c>
      <c r="H7" s="9" t="n"/>
    </row>
    <row r="8" ht="22" customHeight="1">
      <c r="B8" s="6" t="inlineStr">
        <is>
          <t>PROCESAR ASISTENCIA</t>
        </is>
      </c>
      <c r="C8" s="7" t="inlineStr">
        <is>
          <t>PROCESAR_ASISTENCIA</t>
        </is>
      </c>
      <c r="G8" s="8" t="inlineStr">
        <is>
          <t>PRESENTES HOY:</t>
        </is>
      </c>
      <c r="H8" s="9" t="n"/>
    </row>
    <row r="9" ht="22" customHeight="1">
      <c r="B9" s="6" t="inlineStr">
        <is>
          <t>ASISTENCIA DEL DIA</t>
        </is>
      </c>
      <c r="C9" s="7" t="inlineStr">
        <is>
          <t>VER_ASISTENCIA_DIA</t>
        </is>
      </c>
      <c r="G9" s="8" t="inlineStr">
        <is>
          <t>PUNTUALES:</t>
        </is>
      </c>
      <c r="H9" s="9" t="n"/>
    </row>
    <row r="10" ht="22" customHeight="1">
      <c r="B10" s="6" t="inlineStr">
        <is>
          <t>CUADRO GENERAL</t>
        </is>
      </c>
      <c r="C10" s="7" t="inlineStr">
        <is>
          <t>GENERAR_CUADRO_GENERAL</t>
        </is>
      </c>
      <c r="G10" s="8" t="inlineStr">
        <is>
          <t>TARDANZAS:</t>
        </is>
      </c>
      <c r="H10" s="9" t="n"/>
    </row>
    <row r="11" ht="22" customHeight="1">
      <c r="B11" s="6" t="inlineStr">
        <is>
          <t>CONSOLIDADO MENSUAL</t>
        </is>
      </c>
      <c r="C11" s="7" t="inlineStr">
        <is>
          <t>GENERAR_CONSOLIDADO</t>
        </is>
      </c>
      <c r="G11" s="8" t="inlineStr">
        <is>
          <t>FALTAS:</t>
        </is>
      </c>
      <c r="H11" s="9" t="n"/>
    </row>
    <row r="12" ht="22" customHeight="1">
      <c r="B12" s="6" t="inlineStr">
        <is>
          <t>INCIDENCIAS</t>
        </is>
      </c>
      <c r="C12" s="7" t="inlineStr">
        <is>
          <t>ABRIR_INCIDENCIAS</t>
        </is>
      </c>
      <c r="G12" s="8" t="inlineStr">
        <is>
          <t>INCIDENCIAS:</t>
        </is>
      </c>
      <c r="H12" s="9" t="n"/>
    </row>
    <row r="13" ht="22" customHeight="1">
      <c r="B13" s="6" t="inlineStr">
        <is>
          <t>PERSONAL</t>
        </is>
      </c>
      <c r="C13" s="7" t="inlineStr">
        <is>
          <t>ABRIR_PERSONAL</t>
        </is>
      </c>
      <c r="G13" s="8" t="inlineStr">
        <is>
          <t>PENDIENTES:</t>
        </is>
      </c>
      <c r="H13" s="9" t="n"/>
    </row>
    <row r="14" ht="22" customHeight="1">
      <c r="B14" s="6" t="inlineStr">
        <is>
          <t>CONFIGURACION MAESTRA</t>
        </is>
      </c>
      <c r="C14" s="7" t="inlineStr">
        <is>
          <t>ABRIR_CONFIGURACION</t>
        </is>
      </c>
      <c r="G14" s="8" t="inlineStr">
        <is>
          <t>% PUNTUALIDAD:</t>
        </is>
      </c>
      <c r="H14" s="9" t="n"/>
    </row>
    <row r="15" ht="22" customHeight="1">
      <c r="B15" s="6" t="inlineStr">
        <is>
          <t>HISTORICO</t>
        </is>
      </c>
      <c r="C15" s="7" t="inlineStr">
        <is>
          <t>ABRIR_HISTORICO</t>
        </is>
      </c>
      <c r="G15" s="8" t="inlineStr">
        <is>
          <t>% ASISTENCIA:</t>
        </is>
      </c>
      <c r="H15" s="9" t="n"/>
    </row>
    <row r="16" ht="22" customHeight="1">
      <c r="B16" s="6" t="inlineStr">
        <is>
          <t>AUDITORIA</t>
        </is>
      </c>
      <c r="C16" s="7" t="inlineStr">
        <is>
          <t>ABRIR_AUDITORIA</t>
        </is>
      </c>
      <c r="G16" s="8" t="inlineStr">
        <is>
          <t>PERIODO ACTIVO:</t>
        </is>
      </c>
      <c r="H16" s="9" t="n"/>
    </row>
    <row r="17" ht="22" customHeight="1">
      <c r="B17" s="6" t="inlineStr">
        <is>
          <t>ALERTAS / VALIDAR</t>
        </is>
      </c>
      <c r="C17" s="7" t="inlineStr">
        <is>
          <t>GENERAR_ALERTAS</t>
        </is>
      </c>
      <c r="G17" s="8" t="inlineStr">
        <is>
          <t>ESTADO PERIODO:</t>
        </is>
      </c>
      <c r="H17" s="9" t="n"/>
    </row>
    <row r="18" ht="22" customHeight="1">
      <c r="B18" s="6" t="inlineStr">
        <is>
          <t>GENERAR INFORME</t>
        </is>
      </c>
      <c r="C18" s="7" t="inlineStr">
        <is>
          <t>GENERAR_INFORME</t>
        </is>
      </c>
    </row>
    <row r="19" ht="22" customHeight="1">
      <c r="B19" s="6" t="inlineStr">
        <is>
          <t>GUARDAR Y RESPALDAR</t>
        </is>
      </c>
      <c r="C19" s="7" t="inlineStr">
        <is>
          <t>GUARDAR_Y_RESPALDAR</t>
        </is>
      </c>
    </row>
    <row r="20" ht="22" customHeight="1">
      <c r="B20" s="6" t="inlineStr">
        <is>
          <t>CERRAR MES</t>
        </is>
      </c>
      <c r="C20" s="7" t="inlineStr">
        <is>
          <t>CERRAR_MES</t>
        </is>
      </c>
    </row>
  </sheetData>
  <mergeCells count="4">
    <mergeCell ref="G6"/>
    <mergeCell ref="B3:E3"/>
    <mergeCell ref="B2:E2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50" customWidth="1" min="3" max="3"/>
  </cols>
  <sheetData>
    <row r="1" ht="22" customHeight="1">
      <c r="A1" s="10" t="inlineStr">
        <is>
          <t>CONFIGURACION MAESTRA  -  AUDICONTA PERU E.I.R.L.</t>
        </is>
      </c>
    </row>
    <row r="2">
      <c r="A2" s="11" t="inlineStr">
        <is>
          <t>Edite solo las celdas gris claro. No modifique etiquetas ni codigo VBA.</t>
        </is>
      </c>
    </row>
    <row r="4" ht="22" customHeight="1">
      <c r="A4" s="10" t="inlineStr">
        <is>
          <t>1. DATOS DE LA EMPRESA</t>
        </is>
      </c>
    </row>
    <row r="5">
      <c r="A5" s="12" t="inlineStr">
        <is>
          <t>EMPRESA / INSTITUCION:</t>
        </is>
      </c>
      <c r="B5" s="13" t="inlineStr">
        <is>
          <t>AUDICONTA PERU E.I.R.L.</t>
        </is>
      </c>
    </row>
    <row r="6">
      <c r="A6" s="12" t="inlineStr">
        <is>
          <t>RUC:</t>
        </is>
      </c>
      <c r="B6" s="13" t="inlineStr">
        <is>
          <t>20568153414</t>
        </is>
      </c>
    </row>
    <row r="7">
      <c r="A7" s="12" t="inlineStr">
        <is>
          <t>DIRECCION:</t>
        </is>
      </c>
      <c r="B7" s="13" t="inlineStr">
        <is>
          <t>Av. La Rivera N° 944 - La Merced - Chanchamayo</t>
        </is>
      </c>
    </row>
    <row r="8">
      <c r="A8" s="12" t="inlineStr">
        <is>
          <t>CELULARES:</t>
        </is>
      </c>
      <c r="B8" s="13" t="inlineStr">
        <is>
          <t>943889886 - 948024186</t>
        </is>
      </c>
    </row>
    <row r="9">
      <c r="A9" s="12" t="inlineStr">
        <is>
          <t>CORREO ELECTRONICO:</t>
        </is>
      </c>
      <c r="B9" s="13" t="inlineStr">
        <is>
          <t>audicontaperu.eirl@gmail.com</t>
        </is>
      </c>
    </row>
    <row r="10">
      <c r="A10" s="12" t="inlineStr">
        <is>
          <t>AREA / SEDE:</t>
        </is>
      </c>
      <c r="B10" s="13" t="inlineStr">
        <is>
          <t>OFICINA PRINCIPAL</t>
        </is>
      </c>
    </row>
    <row r="11">
      <c r="A11" s="12" t="inlineStr">
        <is>
          <t>RESPONSABLE DEL CONTROL:</t>
        </is>
      </c>
      <c r="B11" s="13" t="inlineStr">
        <is>
          <t>VERDE ENRIQUEZ LUCERO BRITNEY</t>
        </is>
      </c>
    </row>
    <row r="12">
      <c r="A12" s="12" t="inlineStr">
        <is>
          <t>GERENTE:</t>
        </is>
      </c>
      <c r="B12" s="13" t="inlineStr">
        <is>
          <t>LUIS ENRIQUE ESPINOZA QUISPE</t>
        </is>
      </c>
    </row>
    <row r="13">
      <c r="A13" s="12" t="inlineStr">
        <is>
          <t>DNI GERENTE:</t>
        </is>
      </c>
      <c r="B13" s="13" t="inlineStr">
        <is>
          <t>43530814</t>
        </is>
      </c>
    </row>
    <row r="14">
      <c r="A14" s="12" t="inlineStr">
        <is>
          <t>CODIGO DEL FORMATO:</t>
        </is>
      </c>
      <c r="B14" s="13" t="inlineStr">
        <is>
          <t>F-RH-01</t>
        </is>
      </c>
    </row>
    <row r="15">
      <c r="A15" s="12" t="inlineStr">
        <is>
          <t>VERSION:</t>
        </is>
      </c>
      <c r="B15" s="13" t="inlineStr">
        <is>
          <t>01</t>
        </is>
      </c>
    </row>
    <row r="17" ht="22" customHeight="1">
      <c r="A17" s="10" t="inlineStr">
        <is>
          <t>2. HORARIO DE INGRESO - MAÑANA (por dia)</t>
        </is>
      </c>
    </row>
    <row r="18">
      <c r="A18" s="12" t="inlineStr">
        <is>
          <t>INGRESO LUNES:</t>
        </is>
      </c>
      <c r="B18" s="14" t="n">
        <v>0.3125</v>
      </c>
      <c r="C18" s="15" t="inlineStr">
        <is>
          <t>Use formato HH:MM:SS. Escriba DESCANSO si no se labora.</t>
        </is>
      </c>
    </row>
    <row r="19">
      <c r="A19" s="12" t="inlineStr">
        <is>
          <t>INGRESO MARTES:</t>
        </is>
      </c>
      <c r="B19" s="14" t="n">
        <v>0.3333333333333333</v>
      </c>
      <c r="C19" s="15" t="inlineStr">
        <is>
          <t>Use formato HH:MM:SS. Escriba DESCANSO si no se labora.</t>
        </is>
      </c>
    </row>
    <row r="20">
      <c r="A20" s="12" t="inlineStr">
        <is>
          <t>INGRESO MIERCOLES:</t>
        </is>
      </c>
      <c r="B20" s="14" t="n">
        <v>0.3333333333333333</v>
      </c>
      <c r="C20" s="15" t="inlineStr">
        <is>
          <t>Use formato HH:MM:SS. Escriba DESCANSO si no se labora.</t>
        </is>
      </c>
    </row>
    <row r="21">
      <c r="A21" s="12" t="inlineStr">
        <is>
          <t>INGRESO JUEVES:</t>
        </is>
      </c>
      <c r="B21" s="14" t="n">
        <v>0.3333333333333333</v>
      </c>
      <c r="C21" s="15" t="inlineStr">
        <is>
          <t>Use formato HH:MM:SS. Escriba DESCANSO si no se labora.</t>
        </is>
      </c>
    </row>
    <row r="22">
      <c r="A22" s="12" t="inlineStr">
        <is>
          <t>INGRESO VIERNES:</t>
        </is>
      </c>
      <c r="B22" s="14" t="n">
        <v>0.3333333333333333</v>
      </c>
      <c r="C22" s="15" t="inlineStr">
        <is>
          <t>Use formato HH:MM:SS. Escriba DESCANSO si no se labora.</t>
        </is>
      </c>
    </row>
    <row r="23">
      <c r="A23" s="12" t="inlineStr">
        <is>
          <t>INGRESO SABADO:</t>
        </is>
      </c>
      <c r="B23" s="14" t="n">
        <v>0.3125</v>
      </c>
      <c r="C23" s="15" t="inlineStr">
        <is>
          <t>Use formato HH:MM:SS. Escriba DESCANSO si no se labora.</t>
        </is>
      </c>
    </row>
    <row r="24">
      <c r="A24" s="12" t="inlineStr">
        <is>
          <t>INGRESO DOMINGO:</t>
        </is>
      </c>
      <c r="B24" s="13" t="inlineStr">
        <is>
          <t>DESCANSO</t>
        </is>
      </c>
      <c r="C24" s="15" t="inlineStr">
        <is>
          <t>Use formato HH:MM:SS. Escriba DESCANSO si no se labora.</t>
        </is>
      </c>
    </row>
    <row r="26" ht="22" customHeight="1">
      <c r="A26" s="10" t="inlineStr">
        <is>
          <t>3. TOLERANCIA Y HORARIO DE TARDE / SALIDA</t>
        </is>
      </c>
    </row>
    <row r="27">
      <c r="A27" s="12" t="inlineStr">
        <is>
          <t>TOLERANCIA MAÑANA (MINUTOS):</t>
        </is>
      </c>
      <c r="B27" s="13" t="n">
        <v>5</v>
      </c>
      <c r="C27" s="15" t="inlineStr">
        <is>
          <t>Ej: 5 -&gt; hasta 07:35:00 PUNTUAL; 07:35:01 TARDANZA (exacto al segundo).</t>
        </is>
      </c>
    </row>
    <row r="28">
      <c r="A28" s="12" t="inlineStr">
        <is>
          <t>INGRESO TARDE:</t>
        </is>
      </c>
      <c r="B28" s="14" t="n">
        <v>0.625</v>
      </c>
    </row>
    <row r="29">
      <c r="A29" s="12" t="inlineStr">
        <is>
          <t>TOLERANCIA TARDE (MINUTOS):</t>
        </is>
      </c>
      <c r="B29" s="13" t="n">
        <v>5</v>
      </c>
      <c r="C29" s="15" t="inlineStr">
        <is>
          <t>Ej: 5 -&gt; hasta 15:05:00 PUNTUAL; 15:05:01 TARDANZA.</t>
        </is>
      </c>
    </row>
    <row r="30">
      <c r="A30" s="12" t="inlineStr">
        <is>
          <t>SALIDA ALMUERZO (REFERENCIA):</t>
        </is>
      </c>
      <c r="B30" s="14" t="n">
        <v>0.5416666666666666</v>
      </c>
    </row>
    <row r="31">
      <c r="A31" s="12" t="inlineStr">
        <is>
          <t>HORA OFICIAL DE SALIDA:</t>
        </is>
      </c>
      <c r="B31" s="14" t="n">
        <v>0.7083333333333334</v>
      </c>
    </row>
    <row r="33" ht="22" customHeight="1">
      <c r="A33" s="10" t="inlineStr">
        <is>
          <t>4. PERIODO DE TRABAJO</t>
        </is>
      </c>
    </row>
    <row r="34">
      <c r="A34" s="12" t="inlineStr">
        <is>
          <t>FECHA DE TRABAJO:</t>
        </is>
      </c>
      <c r="B34" s="16" t="n">
        <v>46296</v>
      </c>
      <c r="C34" s="15" t="inlineStr">
        <is>
          <t>Fecha del dia que se procesa/consulta. La macro propone HOY.</t>
        </is>
      </c>
    </row>
    <row r="35">
      <c r="A35" s="12" t="inlineStr">
        <is>
          <t>MES ACTIVO (1-12):</t>
        </is>
      </c>
      <c r="B35" s="13" t="n">
        <v>10</v>
      </c>
    </row>
    <row r="36">
      <c r="A36" s="12" t="inlineStr">
        <is>
          <t>AÑO ACTIVO:</t>
        </is>
      </c>
      <c r="B36" s="13" t="n">
        <v>2026</v>
      </c>
    </row>
    <row r="37">
      <c r="A37" s="12" t="inlineStr">
        <is>
          <t>ESTADO DEL PERIODO:</t>
        </is>
      </c>
      <c r="B37" s="13" t="inlineStr">
        <is>
          <t>ABIERTO</t>
        </is>
      </c>
      <c r="C37" s="15" t="inlineStr">
        <is>
          <t>ABIERTO o CERRADO. Un periodo CERRADO queda congelado.</t>
        </is>
      </c>
    </row>
    <row r="39" ht="22" customHeight="1">
      <c r="A39" s="10" t="inlineStr">
        <is>
          <t>5. RESPALDO Y LIMITES</t>
        </is>
      </c>
    </row>
    <row r="40">
      <c r="A40" s="12" t="inlineStr">
        <is>
          <t>RUTA DE RESPALDO:</t>
        </is>
      </c>
      <c r="B40" s="13" t="inlineStr"/>
      <c r="C40" s="15" t="inlineStr">
        <is>
          <t>Carpeta para backups. Vacio = misma carpeta del archivo \BACKUPS.</t>
        </is>
      </c>
    </row>
    <row r="41">
      <c r="A41" s="12" t="inlineStr">
        <is>
          <t>MAX REGISTROS DATA_HUELLERO:</t>
        </is>
      </c>
      <c r="B41" s="13" t="n">
        <v>100000</v>
      </c>
    </row>
    <row r="43" ht="22" customHeight="1">
      <c r="A43" s="10" t="inlineStr">
        <is>
          <t>6. REMUNERACION (opcional - solo si se configura)</t>
        </is>
      </c>
    </row>
    <row r="44">
      <c r="A44" s="12" t="inlineStr">
        <is>
          <t>APLICAR DESCUENTOS:</t>
        </is>
      </c>
      <c r="B44" s="13" t="inlineStr">
        <is>
          <t>NO</t>
        </is>
      </c>
      <c r="C44" s="15" t="inlineStr">
        <is>
          <t>SI / NO. Si es NO, el sistema solo entrega indicadores, no calcula descuentos.</t>
        </is>
      </c>
    </row>
    <row r="45">
      <c r="A45" s="12" t="inlineStr">
        <is>
          <t>DIAS DEL MES PARA R.D.:</t>
        </is>
      </c>
      <c r="B45" s="13" t="n">
        <v>30</v>
      </c>
      <c r="C45" s="15" t="inlineStr">
        <is>
          <t>Divisor para remuneracion diaria (R.D. = Sueldo / dias).</t>
        </is>
      </c>
    </row>
    <row r="46">
      <c r="A46" s="12" t="inlineStr">
        <is>
          <t>DESCUENTO POR TARDANZA (% R.D.):</t>
        </is>
      </c>
      <c r="B46" s="13" t="n">
        <v>30</v>
      </c>
    </row>
    <row r="47">
      <c r="A47" s="12" t="inlineStr">
        <is>
          <t>DESCUENTO POR FALTA (R.D.):</t>
        </is>
      </c>
      <c r="B47" s="13" t="n">
        <v>1</v>
      </c>
    </row>
    <row r="48">
      <c r="A48" s="12" t="inlineStr">
        <is>
          <t>DESCUENTO POR SUSPENSION (R.D.):</t>
        </is>
      </c>
      <c r="B48" s="13" t="n">
        <v>2</v>
      </c>
    </row>
    <row r="49">
      <c r="A49" s="12" t="inlineStr">
        <is>
          <t>DESCUENTO SIN FIRMA (% R.D.):</t>
        </is>
      </c>
      <c r="B49" s="13" t="n">
        <v>5</v>
      </c>
    </row>
  </sheetData>
  <mergeCells count="7">
    <mergeCell ref="A33:C33"/>
    <mergeCell ref="A1:C1"/>
    <mergeCell ref="A43:C43"/>
    <mergeCell ref="A17:C17"/>
    <mergeCell ref="A39:C39"/>
    <mergeCell ref="A4:C4"/>
    <mergeCell ref="A26:C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38" customWidth="1" min="4" max="4"/>
    <col width="38" customWidth="1" min="5" max="5"/>
    <col width="11" customWidth="1" min="6" max="6"/>
    <col width="24" customWidth="1" min="7" max="7"/>
    <col width="26" customWidth="1" min="8" max="8"/>
    <col width="13" customWidth="1" min="9" max="9"/>
    <col width="13" customWidth="1" min="10" max="10"/>
    <col width="16" customWidth="1" min="11" max="11"/>
    <col width="20" customWidth="1" min="12" max="12"/>
    <col width="9" customWidth="1" min="13" max="13"/>
    <col width="30" customWidth="1" min="14" max="14"/>
  </cols>
  <sheetData>
    <row r="1" ht="22" customHeight="1">
      <c r="A1" s="10" t="inlineStr">
        <is>
          <t>NOMINA MAESTRA DEL PERSONAL (independiente del huellero - NO se reconstruye al importar)</t>
        </is>
      </c>
    </row>
    <row r="2" ht="30" customHeight="1">
      <c r="A2" s="17" t="inlineStr">
        <is>
          <t>ID PERSONAL</t>
        </is>
      </c>
      <c r="B2" s="17" t="inlineStr">
        <is>
          <t>N°</t>
        </is>
      </c>
      <c r="C2" s="17" t="inlineStr">
        <is>
          <t>DNI</t>
        </is>
      </c>
      <c r="D2" s="17" t="inlineStr">
        <is>
          <t>APELLIDOS Y NOMBRES</t>
        </is>
      </c>
      <c r="E2" s="17" t="inlineStr">
        <is>
          <t>NOMBRE EN HUELLERO</t>
        </is>
      </c>
      <c r="F2" s="17" t="inlineStr">
        <is>
          <t>ID HUELLERO</t>
        </is>
      </c>
      <c r="G2" s="17" t="inlineStr">
        <is>
          <t>CARGO</t>
        </is>
      </c>
      <c r="H2" s="17" t="inlineStr">
        <is>
          <t>AREA / EMPRESA</t>
        </is>
      </c>
      <c r="I2" s="17" t="inlineStr">
        <is>
          <t>FECHA INGRESO</t>
        </is>
      </c>
      <c r="J2" s="17" t="inlineStr">
        <is>
          <t>FECHA CESE</t>
        </is>
      </c>
      <c r="K2" s="17" t="inlineStr">
        <is>
          <t>TIPO DE JORNADA</t>
        </is>
      </c>
      <c r="L2" s="17" t="inlineStr">
        <is>
          <t>HORARIO PERSONALIZADO</t>
        </is>
      </c>
      <c r="M2" s="17" t="inlineStr">
        <is>
          <t>ACTIVO</t>
        </is>
      </c>
      <c r="N2" s="17" t="inlineStr">
        <is>
          <t>OBSERVACIONES</t>
        </is>
      </c>
    </row>
    <row r="3">
      <c r="A3" s="7" t="inlineStr">
        <is>
          <t>P001</t>
        </is>
      </c>
      <c r="B3" s="7" t="n">
        <v>1</v>
      </c>
      <c r="C3" s="18" t="inlineStr">
        <is>
          <t>71584311</t>
        </is>
      </c>
      <c r="D3" s="7" t="inlineStr">
        <is>
          <t>PEÑA JUSCAMAYTA AARON ROLLER</t>
        </is>
      </c>
      <c r="E3" s="7" t="inlineStr">
        <is>
          <t>AARON  PEÑA JUSCAMAYTA</t>
        </is>
      </c>
      <c r="F3" s="18" t="inlineStr">
        <is>
          <t>3</t>
        </is>
      </c>
      <c r="G3" s="7" t="inlineStr">
        <is>
          <t>JEFE DE OPERACIONES</t>
        </is>
      </c>
      <c r="H3" s="7" t="inlineStr">
        <is>
          <t>AUDICONTA PERU E.I.R.L.</t>
        </is>
      </c>
      <c r="I3" s="19" t="n">
        <v>46023</v>
      </c>
      <c r="J3" s="19" t="inlineStr"/>
      <c r="K3" s="7" t="inlineStr">
        <is>
          <t>ESTANDAR</t>
        </is>
      </c>
      <c r="L3" s="7" t="inlineStr"/>
      <c r="M3" s="7" t="inlineStr">
        <is>
          <t>SI</t>
        </is>
      </c>
      <c r="N3" s="7" t="inlineStr"/>
    </row>
    <row r="4">
      <c r="A4" s="7" t="inlineStr">
        <is>
          <t>P002</t>
        </is>
      </c>
      <c r="B4" s="7" t="n">
        <v>2</v>
      </c>
      <c r="C4" s="18" t="inlineStr">
        <is>
          <t>75222100</t>
        </is>
      </c>
      <c r="D4" s="7" t="inlineStr">
        <is>
          <t>TAMBO MANCHACHI IVETH CECILIA</t>
        </is>
      </c>
      <c r="E4" s="7" t="inlineStr">
        <is>
          <t>IVETH TAMBO MANCHACHI</t>
        </is>
      </c>
      <c r="F4" s="18" t="inlineStr">
        <is>
          <t>4</t>
        </is>
      </c>
      <c r="G4" s="7" t="inlineStr">
        <is>
          <t>SECTORISTA CONTABLE</t>
        </is>
      </c>
      <c r="H4" s="7" t="inlineStr">
        <is>
          <t>AUDICONTA PERU E.I.R.L.</t>
        </is>
      </c>
      <c r="I4" s="19" t="n">
        <v>46023</v>
      </c>
      <c r="J4" s="19" t="inlineStr"/>
      <c r="K4" s="7" t="inlineStr">
        <is>
          <t>ESTANDAR</t>
        </is>
      </c>
      <c r="L4" s="7" t="inlineStr"/>
      <c r="M4" s="7" t="inlineStr">
        <is>
          <t>SI</t>
        </is>
      </c>
      <c r="N4" s="7" t="inlineStr"/>
    </row>
    <row r="5">
      <c r="A5" s="7" t="inlineStr">
        <is>
          <t>P003</t>
        </is>
      </c>
      <c r="B5" s="7" t="n">
        <v>3</v>
      </c>
      <c r="C5" s="18" t="inlineStr">
        <is>
          <t>75217868</t>
        </is>
      </c>
      <c r="D5" s="7" t="inlineStr">
        <is>
          <t>AVELLANEDA AQUINO GABRIEL ALEXANDER</t>
        </is>
      </c>
      <c r="E5" s="7" t="inlineStr">
        <is>
          <t>GABRIEL ALEXANDER AVELLANEDA AQUINO</t>
        </is>
      </c>
      <c r="F5" s="18" t="inlineStr">
        <is>
          <t>5</t>
        </is>
      </c>
      <c r="G5" s="7" t="inlineStr">
        <is>
          <t>SECTORISTA CONTABLE</t>
        </is>
      </c>
      <c r="H5" s="7" t="inlineStr">
        <is>
          <t>AUDICONTA PERU E.I.R.L.</t>
        </is>
      </c>
      <c r="I5" s="19" t="n">
        <v>46023</v>
      </c>
      <c r="J5" s="19" t="inlineStr"/>
      <c r="K5" s="7" t="inlineStr">
        <is>
          <t>ESTANDAR</t>
        </is>
      </c>
      <c r="L5" s="7" t="inlineStr"/>
      <c r="M5" s="7" t="inlineStr">
        <is>
          <t>SI</t>
        </is>
      </c>
      <c r="N5" s="7" t="inlineStr"/>
    </row>
    <row r="6">
      <c r="A6" s="7" t="inlineStr">
        <is>
          <t>P004</t>
        </is>
      </c>
      <c r="B6" s="7" t="n">
        <v>4</v>
      </c>
      <c r="C6" s="18" t="inlineStr">
        <is>
          <t>74890941</t>
        </is>
      </c>
      <c r="D6" s="7" t="inlineStr">
        <is>
          <t>QUINCHO NUÑEZ OSCAR JHOEL</t>
        </is>
      </c>
      <c r="E6" s="7" t="inlineStr">
        <is>
          <t>OSCAR QUINCHO NUÑEZ</t>
        </is>
      </c>
      <c r="F6" s="18" t="inlineStr">
        <is>
          <t>6</t>
        </is>
      </c>
      <c r="G6" s="7" t="inlineStr">
        <is>
          <t>SECTORISTA CONTABLE</t>
        </is>
      </c>
      <c r="H6" s="7" t="inlineStr">
        <is>
          <t>AUDICONTA PERU E.I.R.L.</t>
        </is>
      </c>
      <c r="I6" s="19" t="n">
        <v>46023</v>
      </c>
      <c r="J6" s="19" t="inlineStr"/>
      <c r="K6" s="7" t="inlineStr">
        <is>
          <t>ESTANDAR</t>
        </is>
      </c>
      <c r="L6" s="7" t="inlineStr"/>
      <c r="M6" s="7" t="inlineStr">
        <is>
          <t>SI</t>
        </is>
      </c>
      <c r="N6" s="7" t="inlineStr"/>
    </row>
    <row r="7">
      <c r="A7" s="7" t="inlineStr">
        <is>
          <t>P005</t>
        </is>
      </c>
      <c r="B7" s="7" t="n">
        <v>5</v>
      </c>
      <c r="C7" s="18" t="inlineStr">
        <is>
          <t>70933779</t>
        </is>
      </c>
      <c r="D7" s="7" t="inlineStr">
        <is>
          <t>VERDE ENRIQUEZ LUCERO BRITNEY</t>
        </is>
      </c>
      <c r="E7" s="7" t="inlineStr">
        <is>
          <t>LUCERO VERDE ENRIQUEZ</t>
        </is>
      </c>
      <c r="F7" s="18" t="inlineStr">
        <is>
          <t>7</t>
        </is>
      </c>
      <c r="G7" s="7" t="inlineStr">
        <is>
          <t>RESPONSABLE DE RR.HH.</t>
        </is>
      </c>
      <c r="H7" s="7" t="inlineStr">
        <is>
          <t>AUDICONTA PERU E.I.R.L.</t>
        </is>
      </c>
      <c r="I7" s="19" t="n">
        <v>46023</v>
      </c>
      <c r="J7" s="19" t="inlineStr"/>
      <c r="K7" s="7" t="inlineStr">
        <is>
          <t>ESTANDAR</t>
        </is>
      </c>
      <c r="L7" s="7" t="inlineStr"/>
      <c r="M7" s="7" t="inlineStr">
        <is>
          <t>SI</t>
        </is>
      </c>
      <c r="N7" s="7" t="inlineStr"/>
    </row>
    <row r="8">
      <c r="A8" s="7" t="inlineStr">
        <is>
          <t>P006</t>
        </is>
      </c>
      <c r="B8" s="7" t="n">
        <v>6</v>
      </c>
      <c r="C8" s="18" t="inlineStr">
        <is>
          <t>62021914</t>
        </is>
      </c>
      <c r="D8" s="7" t="inlineStr">
        <is>
          <t>FARFAN ROMAN JULIETTE KRYSTAL</t>
        </is>
      </c>
      <c r="E8" s="7" t="inlineStr">
        <is>
          <t>JULIETTE KRYSTAL  FARFAN ROMAN</t>
        </is>
      </c>
      <c r="F8" s="18" t="inlineStr">
        <is>
          <t>15</t>
        </is>
      </c>
      <c r="G8" s="7" t="inlineStr">
        <is>
          <t>ASISTENTE CONTABLE</t>
        </is>
      </c>
      <c r="H8" s="7" t="inlineStr">
        <is>
          <t>AUDICONTA PERU E.I.R.L.</t>
        </is>
      </c>
      <c r="I8" s="19" t="n">
        <v>46023</v>
      </c>
      <c r="J8" s="19" t="inlineStr"/>
      <c r="K8" s="7" t="inlineStr">
        <is>
          <t>ESTANDAR</t>
        </is>
      </c>
      <c r="L8" s="7" t="inlineStr"/>
      <c r="M8" s="7" t="inlineStr">
        <is>
          <t>SI</t>
        </is>
      </c>
      <c r="N8" s="7" t="inlineStr"/>
    </row>
    <row r="9">
      <c r="A9" s="7" t="inlineStr">
        <is>
          <t>P007</t>
        </is>
      </c>
      <c r="B9" s="7" t="n">
        <v>7</v>
      </c>
      <c r="C9" s="18" t="inlineStr">
        <is>
          <t>60974103</t>
        </is>
      </c>
      <c r="D9" s="7" t="inlineStr">
        <is>
          <t>RUIZ DE LA PEÑA FABRICIO RICARDO</t>
        </is>
      </c>
      <c r="E9" s="7" t="inlineStr">
        <is>
          <t>FABRICIO RICARDO  RUIZ DE LA PEÑA</t>
        </is>
      </c>
      <c r="F9" s="18" t="inlineStr">
        <is>
          <t>14</t>
        </is>
      </c>
      <c r="G9" s="7" t="inlineStr">
        <is>
          <t>ASISTENTE CONTABLE</t>
        </is>
      </c>
      <c r="H9" s="7" t="inlineStr">
        <is>
          <t>AUDICONTA PERU E.I.R.L.</t>
        </is>
      </c>
      <c r="I9" s="19" t="n">
        <v>46023</v>
      </c>
      <c r="J9" s="19" t="inlineStr"/>
      <c r="K9" s="7" t="inlineStr">
        <is>
          <t>ESTANDAR</t>
        </is>
      </c>
      <c r="L9" s="7" t="inlineStr"/>
      <c r="M9" s="7" t="inlineStr">
        <is>
          <t>SI</t>
        </is>
      </c>
      <c r="N9" s="7" t="inlineStr"/>
    </row>
    <row r="10">
      <c r="A10" s="7" t="inlineStr">
        <is>
          <t>P008</t>
        </is>
      </c>
      <c r="B10" s="7" t="n">
        <v>8</v>
      </c>
      <c r="C10" s="18" t="inlineStr">
        <is>
          <t>61314586</t>
        </is>
      </c>
      <c r="D10" s="7" t="inlineStr">
        <is>
          <t>ARNAO PALOMINO FRANKO ALEXANDER</t>
        </is>
      </c>
      <c r="E10" s="7" t="inlineStr">
        <is>
          <t>FRANKO ALEXANDER  ANCO PALOMINO</t>
        </is>
      </c>
      <c r="F10" s="18" t="inlineStr">
        <is>
          <t>13</t>
        </is>
      </c>
      <c r="G10" s="7" t="inlineStr">
        <is>
          <t>ASISTENTE CONTABLE</t>
        </is>
      </c>
      <c r="H10" s="7" t="inlineStr">
        <is>
          <t>AUDICONTA PERU E.I.R.L.</t>
        </is>
      </c>
      <c r="I10" s="19" t="n">
        <v>46023</v>
      </c>
      <c r="J10" s="19" t="inlineStr"/>
      <c r="K10" s="7" t="inlineStr">
        <is>
          <t>ESTANDAR</t>
        </is>
      </c>
      <c r="L10" s="7" t="inlineStr"/>
      <c r="M10" s="7" t="inlineStr">
        <is>
          <t>SI</t>
        </is>
      </c>
      <c r="N10" s="7" t="inlineStr"/>
    </row>
    <row r="11">
      <c r="A11" s="7" t="inlineStr">
        <is>
          <t>P009</t>
        </is>
      </c>
      <c r="B11" s="7" t="n">
        <v>9</v>
      </c>
      <c r="C11" s="18" t="inlineStr">
        <is>
          <t>61351206</t>
        </is>
      </c>
      <c r="D11" s="7" t="inlineStr">
        <is>
          <t>TANZ HUICHO LUIS MIGUEL</t>
        </is>
      </c>
      <c r="E11" s="7" t="inlineStr">
        <is>
          <t>LUIS MIGUEL TANZ HUICHO</t>
        </is>
      </c>
      <c r="F11" s="18" t="inlineStr"/>
      <c r="G11" s="7" t="inlineStr">
        <is>
          <t>ASISTENTE CONTABLE</t>
        </is>
      </c>
      <c r="H11" s="7" t="inlineStr">
        <is>
          <t>AUDICONTA PERU E.I.R.L.</t>
        </is>
      </c>
      <c r="I11" s="19" t="n">
        <v>46023</v>
      </c>
      <c r="J11" s="19" t="inlineStr"/>
      <c r="K11" s="7" t="inlineStr">
        <is>
          <t>ESTANDAR</t>
        </is>
      </c>
      <c r="L11" s="7" t="inlineStr"/>
      <c r="M11" s="7" t="inlineStr">
        <is>
          <t>SI</t>
        </is>
      </c>
      <c r="N11" s="7" t="inlineStr"/>
    </row>
    <row r="12">
      <c r="A12" s="7" t="inlineStr">
        <is>
          <t>P010</t>
        </is>
      </c>
      <c r="B12" s="7" t="n">
        <v>10</v>
      </c>
      <c r="C12" s="18" t="inlineStr">
        <is>
          <t>62403330</t>
        </is>
      </c>
      <c r="D12" s="7" t="inlineStr">
        <is>
          <t>ALDERETE SANTIAGO ANGGIE DAYANA</t>
        </is>
      </c>
      <c r="E12" s="7" t="inlineStr"/>
      <c r="F12" s="18" t="inlineStr"/>
      <c r="G12" s="7" t="inlineStr">
        <is>
          <t>ASISTENTE CONTABLE</t>
        </is>
      </c>
      <c r="H12" s="7" t="inlineStr">
        <is>
          <t>AUDICONTA PERU E.I.R.L.</t>
        </is>
      </c>
      <c r="I12" s="19" t="n">
        <v>46023</v>
      </c>
      <c r="J12" s="19" t="inlineStr"/>
      <c r="K12" s="7" t="inlineStr">
        <is>
          <t>ESTANDAR</t>
        </is>
      </c>
      <c r="L12" s="7" t="inlineStr"/>
      <c r="M12" s="7" t="inlineStr">
        <is>
          <t>SI</t>
        </is>
      </c>
      <c r="N12" s="7" t="inlineStr"/>
    </row>
    <row r="13">
      <c r="A13" s="7" t="inlineStr">
        <is>
          <t>P011</t>
        </is>
      </c>
      <c r="B13" s="7" t="n">
        <v>11</v>
      </c>
      <c r="C13" s="18" t="inlineStr">
        <is>
          <t>77135062</t>
        </is>
      </c>
      <c r="D13" s="7" t="inlineStr">
        <is>
          <t>VELIZ ROJAS DINA</t>
        </is>
      </c>
      <c r="E13" s="7" t="inlineStr">
        <is>
          <t>DINA  VELIZ ROJAS</t>
        </is>
      </c>
      <c r="F13" s="18" t="inlineStr">
        <is>
          <t>16</t>
        </is>
      </c>
      <c r="G13" s="7" t="inlineStr">
        <is>
          <t>ASISTENTE CONTABLE</t>
        </is>
      </c>
      <c r="H13" s="7" t="inlineStr">
        <is>
          <t>AUDICONTA PERU E.I.R.L.</t>
        </is>
      </c>
      <c r="I13" s="19" t="n">
        <v>46023</v>
      </c>
      <c r="J13" s="19" t="inlineStr"/>
      <c r="K13" s="7" t="inlineStr">
        <is>
          <t>ESTANDAR</t>
        </is>
      </c>
      <c r="L13" s="7" t="inlineStr"/>
      <c r="M13" s="7" t="inlineStr">
        <is>
          <t>SI</t>
        </is>
      </c>
      <c r="N13" s="7" t="inlineStr"/>
    </row>
    <row r="14">
      <c r="A14" s="7" t="inlineStr">
        <is>
          <t>P012</t>
        </is>
      </c>
      <c r="B14" s="7" t="n">
        <v>12</v>
      </c>
      <c r="C14" s="18" t="inlineStr">
        <is>
          <t>61209532</t>
        </is>
      </c>
      <c r="D14" s="7" t="inlineStr">
        <is>
          <t>AQUINO QUISPE LUIS MIGUEL</t>
        </is>
      </c>
      <c r="E14" s="7" t="inlineStr"/>
      <c r="F14" s="18" t="inlineStr"/>
      <c r="G14" s="7" t="inlineStr">
        <is>
          <t>ASISTENTE CONTABLE</t>
        </is>
      </c>
      <c r="H14" s="7" t="inlineStr">
        <is>
          <t>AUDICONTA PERU E.I.R.L.</t>
        </is>
      </c>
      <c r="I14" s="19" t="n">
        <v>46023</v>
      </c>
      <c r="J14" s="19" t="inlineStr"/>
      <c r="K14" s="7" t="inlineStr">
        <is>
          <t>ESTANDAR</t>
        </is>
      </c>
      <c r="L14" s="7" t="inlineStr"/>
      <c r="M14" s="7" t="inlineStr">
        <is>
          <t>SI</t>
        </is>
      </c>
      <c r="N14" s="7" t="inlineStr"/>
    </row>
    <row r="15">
      <c r="A15" s="7" t="inlineStr">
        <is>
          <t>P013</t>
        </is>
      </c>
      <c r="B15" s="7" t="n">
        <v>13</v>
      </c>
      <c r="C15" s="18" t="inlineStr">
        <is>
          <t>76633122</t>
        </is>
      </c>
      <c r="D15" s="7" t="inlineStr">
        <is>
          <t>RAVICHAGUA VALDIVIA HEYZON BRANDON</t>
        </is>
      </c>
      <c r="E15" s="7" t="inlineStr"/>
      <c r="F15" s="18" t="inlineStr"/>
      <c r="G15" s="7" t="inlineStr">
        <is>
          <t>ASISTENTE CONTABLE</t>
        </is>
      </c>
      <c r="H15" s="7" t="inlineStr">
        <is>
          <t>AUDICONTA PERU E.I.R.L.</t>
        </is>
      </c>
      <c r="I15" s="19" t="n">
        <v>46023</v>
      </c>
      <c r="J15" s="19" t="inlineStr"/>
      <c r="K15" s="7" t="inlineStr">
        <is>
          <t>ESTANDAR</t>
        </is>
      </c>
      <c r="L15" s="7" t="inlineStr"/>
      <c r="M15" s="7" t="inlineStr">
        <is>
          <t>SI</t>
        </is>
      </c>
      <c r="N15" s="7" t="inlineStr"/>
    </row>
    <row r="16">
      <c r="A16" s="7" t="inlineStr">
        <is>
          <t>P014</t>
        </is>
      </c>
      <c r="B16" s="7" t="n">
        <v>14</v>
      </c>
      <c r="C16" s="18" t="inlineStr">
        <is>
          <t>75217906</t>
        </is>
      </c>
      <c r="D16" s="7" t="inlineStr">
        <is>
          <t>TERACCAYA SAMANIEGO CAMILA SHANTAL</t>
        </is>
      </c>
      <c r="E16" s="7" t="inlineStr"/>
      <c r="F16" s="18" t="inlineStr"/>
      <c r="G16" s="7" t="inlineStr">
        <is>
          <t>ASISTENTE CONTABLE</t>
        </is>
      </c>
      <c r="H16" s="7" t="inlineStr">
        <is>
          <t>AUDICONTA PERU E.I.R.L.</t>
        </is>
      </c>
      <c r="I16" s="19" t="n">
        <v>46023</v>
      </c>
      <c r="J16" s="19" t="inlineStr"/>
      <c r="K16" s="7" t="inlineStr">
        <is>
          <t>ESTANDAR</t>
        </is>
      </c>
      <c r="L16" s="7" t="inlineStr"/>
      <c r="M16" s="7" t="inlineStr">
        <is>
          <t>SI</t>
        </is>
      </c>
      <c r="N16" s="7" t="inlineStr"/>
    </row>
    <row r="17">
      <c r="A17" s="7" t="inlineStr">
        <is>
          <t>P015</t>
        </is>
      </c>
      <c r="B17" s="7" t="n">
        <v>15</v>
      </c>
      <c r="C17" s="18" t="inlineStr">
        <is>
          <t>61302056</t>
        </is>
      </c>
      <c r="D17" s="7" t="inlineStr">
        <is>
          <t>ROMERO MENDOZA MARI LUZ</t>
        </is>
      </c>
      <c r="E17" s="7" t="inlineStr"/>
      <c r="F17" s="18" t="inlineStr"/>
      <c r="G17" s="7" t="inlineStr">
        <is>
          <t>ASISTENTE CONTABLE</t>
        </is>
      </c>
      <c r="H17" s="7" t="inlineStr">
        <is>
          <t>AUDICONTA PERU E.I.R.L.</t>
        </is>
      </c>
      <c r="I17" s="19" t="n">
        <v>46023</v>
      </c>
      <c r="J17" s="19" t="inlineStr"/>
      <c r="K17" s="7" t="inlineStr">
        <is>
          <t>ESTANDAR</t>
        </is>
      </c>
      <c r="L17" s="7" t="inlineStr"/>
      <c r="M17" s="7" t="inlineStr">
        <is>
          <t>SI</t>
        </is>
      </c>
      <c r="N17" s="7" t="inlineStr"/>
    </row>
    <row r="18">
      <c r="A18" s="7" t="inlineStr">
        <is>
          <t>P016</t>
        </is>
      </c>
      <c r="B18" s="7" t="n">
        <v>16</v>
      </c>
      <c r="C18" s="18" t="inlineStr">
        <is>
          <t>75514867</t>
        </is>
      </c>
      <c r="D18" s="7" t="inlineStr">
        <is>
          <t>AQUINO NUÑEZ KEVIN ANTONY</t>
        </is>
      </c>
      <c r="E18" s="7" t="inlineStr">
        <is>
          <t>KEVIN AQUINO NUÑEZ</t>
        </is>
      </c>
      <c r="F18" s="18" t="inlineStr"/>
      <c r="G18" s="7" t="inlineStr">
        <is>
          <t>AGENTE DE SEGURIDAD</t>
        </is>
      </c>
      <c r="H18" s="7" t="inlineStr">
        <is>
          <t>SEG PRO FORCE S.A.C.</t>
        </is>
      </c>
      <c r="I18" s="19" t="n">
        <v>46023</v>
      </c>
      <c r="J18" s="19" t="inlineStr"/>
      <c r="K18" s="7" t="inlineStr">
        <is>
          <t>ESTANDAR</t>
        </is>
      </c>
      <c r="L18" s="7" t="inlineStr"/>
      <c r="M18" s="7" t="inlineStr">
        <is>
          <t>SI</t>
        </is>
      </c>
      <c r="N18" s="7" t="inlineStr"/>
    </row>
    <row r="19">
      <c r="A19" s="7" t="inlineStr">
        <is>
          <t>P017</t>
        </is>
      </c>
      <c r="B19" s="7" t="n">
        <v>17</v>
      </c>
      <c r="C19" s="18" t="inlineStr">
        <is>
          <t>76320303</t>
        </is>
      </c>
      <c r="D19" s="7" t="inlineStr">
        <is>
          <t>ROMERO MEZA JACZUMY MERCEDES</t>
        </is>
      </c>
      <c r="E19" s="7" t="inlineStr">
        <is>
          <t>JACZUMY  MEZA ROMERO</t>
        </is>
      </c>
      <c r="F19" s="18" t="inlineStr">
        <is>
          <t>11</t>
        </is>
      </c>
      <c r="G19" s="7" t="inlineStr">
        <is>
          <t>AGENTE DE SEGURIDAD</t>
        </is>
      </c>
      <c r="H19" s="7" t="inlineStr">
        <is>
          <t>SEG PRO FORCE S.A.C.</t>
        </is>
      </c>
      <c r="I19" s="19" t="n">
        <v>46023</v>
      </c>
      <c r="J19" s="19" t="inlineStr"/>
      <c r="K19" s="7" t="inlineStr">
        <is>
          <t>ESTANDAR</t>
        </is>
      </c>
      <c r="L19" s="7" t="inlineStr"/>
      <c r="M19" s="7" t="inlineStr">
        <is>
          <t>SI</t>
        </is>
      </c>
      <c r="N19" s="7" t="inlineStr"/>
    </row>
    <row r="20">
      <c r="A20" s="7" t="inlineStr">
        <is>
          <t>P018</t>
        </is>
      </c>
      <c r="B20" s="7" t="n">
        <v>18</v>
      </c>
      <c r="C20" s="18" t="inlineStr">
        <is>
          <t>61426723</t>
        </is>
      </c>
      <c r="D20" s="7" t="inlineStr">
        <is>
          <t>MAGUIÑA MARTINEZ ALONDRA MELANI</t>
        </is>
      </c>
      <c r="E20" s="7" t="inlineStr">
        <is>
          <t>ALONDRA MELANI  MAGUIÑA MARTINEZ</t>
        </is>
      </c>
      <c r="F20" s="18" t="inlineStr">
        <is>
          <t>10</t>
        </is>
      </c>
      <c r="G20" s="7" t="inlineStr">
        <is>
          <t>AGENTE DE SEGURIDAD</t>
        </is>
      </c>
      <c r="H20" s="7" t="inlineStr">
        <is>
          <t>SEG PRO FORCE S.A.C.</t>
        </is>
      </c>
      <c r="I20" s="19" t="n">
        <v>46023</v>
      </c>
      <c r="J20" s="19" t="inlineStr"/>
      <c r="K20" s="7" t="inlineStr">
        <is>
          <t>ESTANDAR</t>
        </is>
      </c>
      <c r="L20" s="7" t="inlineStr"/>
      <c r="M20" s="7" t="inlineStr">
        <is>
          <t>SI</t>
        </is>
      </c>
      <c r="N20" s="7" t="inlineStr"/>
    </row>
    <row r="21">
      <c r="A21" s="7" t="inlineStr">
        <is>
          <t>P019</t>
        </is>
      </c>
      <c r="B21" s="7" t="n">
        <v>19</v>
      </c>
      <c r="C21" s="18" t="inlineStr">
        <is>
          <t>61111564</t>
        </is>
      </c>
      <c r="D21" s="7" t="inlineStr">
        <is>
          <t>BARRIOS ZAMBRANO DANIEL ANDERSON</t>
        </is>
      </c>
      <c r="E21" s="7" t="inlineStr">
        <is>
          <t>DANIEL ANDERSON   BARRIOS ZAMBRANO</t>
        </is>
      </c>
      <c r="F21" s="18" t="inlineStr">
        <is>
          <t>9</t>
        </is>
      </c>
      <c r="G21" s="7" t="inlineStr">
        <is>
          <t>AGENTE DE SEGURIDAD</t>
        </is>
      </c>
      <c r="H21" s="7" t="inlineStr">
        <is>
          <t>SEG PRO FORCE S.A.C.</t>
        </is>
      </c>
      <c r="I21" s="19" t="n">
        <v>46023</v>
      </c>
      <c r="J21" s="19" t="inlineStr"/>
      <c r="K21" s="7" t="inlineStr">
        <is>
          <t>ESTANDAR</t>
        </is>
      </c>
      <c r="L21" s="7" t="inlineStr"/>
      <c r="M21" s="7" t="inlineStr">
        <is>
          <t>SI</t>
        </is>
      </c>
      <c r="N21" s="7" t="inlineStr"/>
    </row>
    <row r="22">
      <c r="A22" s="20" t="n"/>
      <c r="B22" s="20" t="n"/>
      <c r="C22" s="21" t="n"/>
      <c r="D22" s="20" t="n"/>
      <c r="E22" s="20" t="n"/>
      <c r="F22" s="21" t="n"/>
      <c r="G22" s="20" t="n"/>
      <c r="H22" s="20" t="n"/>
      <c r="I22" s="20" t="n"/>
      <c r="J22" s="20" t="n"/>
      <c r="K22" s="20" t="n"/>
      <c r="L22" s="20" t="n"/>
      <c r="M22" s="20" t="n"/>
      <c r="N22" s="20" t="n"/>
    </row>
    <row r="23">
      <c r="A23" s="20" t="n"/>
      <c r="B23" s="20" t="n"/>
      <c r="C23" s="21" t="n"/>
      <c r="D23" s="20" t="n"/>
      <c r="E23" s="20" t="n"/>
      <c r="F23" s="21" t="n"/>
      <c r="G23" s="20" t="n"/>
      <c r="H23" s="20" t="n"/>
      <c r="I23" s="20" t="n"/>
      <c r="J23" s="20" t="n"/>
      <c r="K23" s="20" t="n"/>
      <c r="L23" s="20" t="n"/>
      <c r="M23" s="20" t="n"/>
      <c r="N23" s="20" t="n"/>
    </row>
    <row r="24">
      <c r="A24" s="20" t="n"/>
      <c r="B24" s="20" t="n"/>
      <c r="C24" s="21" t="n"/>
      <c r="D24" s="20" t="n"/>
      <c r="E24" s="20" t="n"/>
      <c r="F24" s="21" t="n"/>
      <c r="G24" s="20" t="n"/>
      <c r="H24" s="20" t="n"/>
      <c r="I24" s="20" t="n"/>
      <c r="J24" s="20" t="n"/>
      <c r="K24" s="20" t="n"/>
      <c r="L24" s="20" t="n"/>
      <c r="M24" s="20" t="n"/>
      <c r="N24" s="20" t="n"/>
    </row>
    <row r="25">
      <c r="A25" s="20" t="n"/>
      <c r="B25" s="20" t="n"/>
      <c r="C25" s="21" t="n"/>
      <c r="D25" s="20" t="n"/>
      <c r="E25" s="20" t="n"/>
      <c r="F25" s="21" t="n"/>
      <c r="G25" s="20" t="n"/>
      <c r="H25" s="20" t="n"/>
      <c r="I25" s="20" t="n"/>
      <c r="J25" s="20" t="n"/>
      <c r="K25" s="20" t="n"/>
      <c r="L25" s="20" t="n"/>
      <c r="M25" s="20" t="n"/>
      <c r="N25" s="20" t="n"/>
    </row>
    <row r="26">
      <c r="A26" s="20" t="n"/>
      <c r="B26" s="20" t="n"/>
      <c r="C26" s="21" t="n"/>
      <c r="D26" s="20" t="n"/>
      <c r="E26" s="20" t="n"/>
      <c r="F26" s="21" t="n"/>
      <c r="G26" s="20" t="n"/>
      <c r="H26" s="20" t="n"/>
      <c r="I26" s="20" t="n"/>
      <c r="J26" s="20" t="n"/>
      <c r="K26" s="20" t="n"/>
      <c r="L26" s="20" t="n"/>
      <c r="M26" s="20" t="n"/>
      <c r="N26" s="20" t="n"/>
    </row>
    <row r="27">
      <c r="A27" s="20" t="n"/>
      <c r="B27" s="20" t="n"/>
      <c r="C27" s="21" t="n"/>
      <c r="D27" s="20" t="n"/>
      <c r="E27" s="20" t="n"/>
      <c r="F27" s="21" t="n"/>
      <c r="G27" s="20" t="n"/>
      <c r="H27" s="20" t="n"/>
      <c r="I27" s="20" t="n"/>
      <c r="J27" s="20" t="n"/>
      <c r="K27" s="20" t="n"/>
      <c r="L27" s="20" t="n"/>
      <c r="M27" s="20" t="n"/>
      <c r="N27" s="20" t="n"/>
    </row>
    <row r="28">
      <c r="A28" s="20" t="n"/>
      <c r="B28" s="20" t="n"/>
      <c r="C28" s="21" t="n"/>
      <c r="D28" s="20" t="n"/>
      <c r="E28" s="20" t="n"/>
      <c r="F28" s="21" t="n"/>
      <c r="G28" s="20" t="n"/>
      <c r="H28" s="20" t="n"/>
      <c r="I28" s="20" t="n"/>
      <c r="J28" s="20" t="n"/>
      <c r="K28" s="20" t="n"/>
      <c r="L28" s="20" t="n"/>
      <c r="M28" s="20" t="n"/>
      <c r="N28" s="20" t="n"/>
    </row>
    <row r="29">
      <c r="A29" s="20" t="n"/>
      <c r="B29" s="20" t="n"/>
      <c r="C29" s="21" t="n"/>
      <c r="D29" s="20" t="n"/>
      <c r="E29" s="20" t="n"/>
      <c r="F29" s="21" t="n"/>
      <c r="G29" s="20" t="n"/>
      <c r="H29" s="20" t="n"/>
      <c r="I29" s="20" t="n"/>
      <c r="J29" s="20" t="n"/>
      <c r="K29" s="20" t="n"/>
      <c r="L29" s="20" t="n"/>
      <c r="M29" s="20" t="n"/>
      <c r="N29" s="20" t="n"/>
    </row>
    <row r="30">
      <c r="A30" s="20" t="n"/>
      <c r="B30" s="20" t="n"/>
      <c r="C30" s="21" t="n"/>
      <c r="D30" s="20" t="n"/>
      <c r="E30" s="20" t="n"/>
      <c r="F30" s="21" t="n"/>
      <c r="G30" s="20" t="n"/>
      <c r="H30" s="20" t="n"/>
      <c r="I30" s="20" t="n"/>
      <c r="J30" s="20" t="n"/>
      <c r="K30" s="20" t="n"/>
      <c r="L30" s="20" t="n"/>
      <c r="M30" s="20" t="n"/>
      <c r="N30" s="20" t="n"/>
    </row>
    <row r="31">
      <c r="A31" s="20" t="n"/>
      <c r="B31" s="20" t="n"/>
      <c r="C31" s="21" t="n"/>
      <c r="D31" s="20" t="n"/>
      <c r="E31" s="20" t="n"/>
      <c r="F31" s="21" t="n"/>
      <c r="G31" s="20" t="n"/>
      <c r="H31" s="20" t="n"/>
      <c r="I31" s="20" t="n"/>
      <c r="J31" s="20" t="n"/>
      <c r="K31" s="20" t="n"/>
      <c r="L31" s="20" t="n"/>
      <c r="M31" s="20" t="n"/>
      <c r="N31" s="20" t="n"/>
    </row>
    <row r="32">
      <c r="A32" s="20" t="n"/>
      <c r="B32" s="20" t="n"/>
      <c r="C32" s="21" t="n"/>
      <c r="D32" s="20" t="n"/>
      <c r="E32" s="20" t="n"/>
      <c r="F32" s="21" t="n"/>
      <c r="G32" s="20" t="n"/>
      <c r="H32" s="20" t="n"/>
      <c r="I32" s="20" t="n"/>
      <c r="J32" s="20" t="n"/>
      <c r="K32" s="20" t="n"/>
      <c r="L32" s="20" t="n"/>
      <c r="M32" s="20" t="n"/>
      <c r="N32" s="20" t="n"/>
    </row>
    <row r="33">
      <c r="A33" s="20" t="n"/>
      <c r="B33" s="20" t="n"/>
      <c r="C33" s="21" t="n"/>
      <c r="D33" s="20" t="n"/>
      <c r="E33" s="20" t="n"/>
      <c r="F33" s="21" t="n"/>
      <c r="G33" s="20" t="n"/>
      <c r="H33" s="20" t="n"/>
      <c r="I33" s="20" t="n"/>
      <c r="J33" s="20" t="n"/>
      <c r="K33" s="20" t="n"/>
      <c r="L33" s="20" t="n"/>
      <c r="M33" s="20" t="n"/>
      <c r="N33" s="20" t="n"/>
    </row>
    <row r="34">
      <c r="A34" s="20" t="n"/>
      <c r="B34" s="20" t="n"/>
      <c r="C34" s="21" t="n"/>
      <c r="D34" s="20" t="n"/>
      <c r="E34" s="20" t="n"/>
      <c r="F34" s="21" t="n"/>
      <c r="G34" s="20" t="n"/>
      <c r="H34" s="20" t="n"/>
      <c r="I34" s="20" t="n"/>
      <c r="J34" s="20" t="n"/>
      <c r="K34" s="20" t="n"/>
      <c r="L34" s="20" t="n"/>
      <c r="M34" s="20" t="n"/>
      <c r="N34" s="20" t="n"/>
    </row>
    <row r="35">
      <c r="A35" s="20" t="n"/>
      <c r="B35" s="20" t="n"/>
      <c r="C35" s="21" t="n"/>
      <c r="D35" s="20" t="n"/>
      <c r="E35" s="20" t="n"/>
      <c r="F35" s="21" t="n"/>
      <c r="G35" s="20" t="n"/>
      <c r="H35" s="20" t="n"/>
      <c r="I35" s="20" t="n"/>
      <c r="J35" s="20" t="n"/>
      <c r="K35" s="20" t="n"/>
      <c r="L35" s="20" t="n"/>
      <c r="M35" s="20" t="n"/>
      <c r="N35" s="20" t="n"/>
    </row>
    <row r="36">
      <c r="A36" s="20" t="n"/>
      <c r="B36" s="20" t="n"/>
      <c r="C36" s="21" t="n"/>
      <c r="D36" s="20" t="n"/>
      <c r="E36" s="20" t="n"/>
      <c r="F36" s="21" t="n"/>
      <c r="G36" s="20" t="n"/>
      <c r="H36" s="20" t="n"/>
      <c r="I36" s="20" t="n"/>
      <c r="J36" s="20" t="n"/>
      <c r="K36" s="20" t="n"/>
      <c r="L36" s="20" t="n"/>
      <c r="M36" s="20" t="n"/>
      <c r="N36" s="20" t="n"/>
    </row>
    <row r="37">
      <c r="A37" s="20" t="n"/>
      <c r="B37" s="20" t="n"/>
      <c r="C37" s="21" t="n"/>
      <c r="D37" s="20" t="n"/>
      <c r="E37" s="20" t="n"/>
      <c r="F37" s="21" t="n"/>
      <c r="G37" s="20" t="n"/>
      <c r="H37" s="20" t="n"/>
      <c r="I37" s="20" t="n"/>
      <c r="J37" s="20" t="n"/>
      <c r="K37" s="20" t="n"/>
      <c r="L37" s="20" t="n"/>
      <c r="M37" s="20" t="n"/>
      <c r="N37" s="20" t="n"/>
    </row>
    <row r="38">
      <c r="A38" s="20" t="n"/>
      <c r="B38" s="20" t="n"/>
      <c r="C38" s="21" t="n"/>
      <c r="D38" s="20" t="n"/>
      <c r="E38" s="20" t="n"/>
      <c r="F38" s="21" t="n"/>
      <c r="G38" s="20" t="n"/>
      <c r="H38" s="20" t="n"/>
      <c r="I38" s="20" t="n"/>
      <c r="J38" s="20" t="n"/>
      <c r="K38" s="20" t="n"/>
      <c r="L38" s="20" t="n"/>
      <c r="M38" s="20" t="n"/>
      <c r="N38" s="20" t="n"/>
    </row>
    <row r="39">
      <c r="A39" s="20" t="n"/>
      <c r="B39" s="20" t="n"/>
      <c r="C39" s="21" t="n"/>
      <c r="D39" s="20" t="n"/>
      <c r="E39" s="20" t="n"/>
      <c r="F39" s="21" t="n"/>
      <c r="G39" s="20" t="n"/>
      <c r="H39" s="20" t="n"/>
      <c r="I39" s="20" t="n"/>
      <c r="J39" s="20" t="n"/>
      <c r="K39" s="20" t="n"/>
      <c r="L39" s="20" t="n"/>
      <c r="M39" s="20" t="n"/>
      <c r="N39" s="20" t="n"/>
    </row>
    <row r="40">
      <c r="A40" s="20" t="n"/>
      <c r="B40" s="20" t="n"/>
      <c r="C40" s="21" t="n"/>
      <c r="D40" s="20" t="n"/>
      <c r="E40" s="20" t="n"/>
      <c r="F40" s="21" t="n"/>
      <c r="G40" s="20" t="n"/>
      <c r="H40" s="20" t="n"/>
      <c r="I40" s="20" t="n"/>
      <c r="J40" s="20" t="n"/>
      <c r="K40" s="20" t="n"/>
      <c r="L40" s="20" t="n"/>
      <c r="M40" s="20" t="n"/>
      <c r="N40" s="20" t="n"/>
    </row>
    <row r="41">
      <c r="A41" s="20" t="n"/>
      <c r="B41" s="20" t="n"/>
      <c r="C41" s="21" t="n"/>
      <c r="D41" s="20" t="n"/>
      <c r="E41" s="20" t="n"/>
      <c r="F41" s="21" t="n"/>
      <c r="G41" s="20" t="n"/>
      <c r="H41" s="20" t="n"/>
      <c r="I41" s="20" t="n"/>
      <c r="J41" s="20" t="n"/>
      <c r="K41" s="20" t="n"/>
      <c r="L41" s="20" t="n"/>
      <c r="M41" s="20" t="n"/>
      <c r="N41" s="20" t="n"/>
    </row>
    <row r="42">
      <c r="A42" s="20" t="n"/>
      <c r="B42" s="20" t="n"/>
      <c r="C42" s="21" t="n"/>
      <c r="D42" s="20" t="n"/>
      <c r="E42" s="20" t="n"/>
      <c r="F42" s="21" t="n"/>
      <c r="G42" s="20" t="n"/>
      <c r="H42" s="20" t="n"/>
      <c r="I42" s="20" t="n"/>
      <c r="J42" s="20" t="n"/>
      <c r="K42" s="20" t="n"/>
      <c r="L42" s="20" t="n"/>
      <c r="M42" s="20" t="n"/>
      <c r="N42" s="20" t="n"/>
    </row>
    <row r="43">
      <c r="A43" s="20" t="n"/>
      <c r="B43" s="20" t="n"/>
      <c r="C43" s="21" t="n"/>
      <c r="D43" s="20" t="n"/>
      <c r="E43" s="20" t="n"/>
      <c r="F43" s="21" t="n"/>
      <c r="G43" s="20" t="n"/>
      <c r="H43" s="20" t="n"/>
      <c r="I43" s="20" t="n"/>
      <c r="J43" s="20" t="n"/>
      <c r="K43" s="20" t="n"/>
      <c r="L43" s="20" t="n"/>
      <c r="M43" s="20" t="n"/>
      <c r="N43" s="20" t="n"/>
    </row>
    <row r="44">
      <c r="A44" s="20" t="n"/>
      <c r="B44" s="20" t="n"/>
      <c r="C44" s="21" t="n"/>
      <c r="D44" s="20" t="n"/>
      <c r="E44" s="20" t="n"/>
      <c r="F44" s="21" t="n"/>
      <c r="G44" s="20" t="n"/>
      <c r="H44" s="20" t="n"/>
      <c r="I44" s="20" t="n"/>
      <c r="J44" s="20" t="n"/>
      <c r="K44" s="20" t="n"/>
      <c r="L44" s="20" t="n"/>
      <c r="M44" s="20" t="n"/>
      <c r="N44" s="20" t="n"/>
    </row>
    <row r="45">
      <c r="A45" s="20" t="n"/>
      <c r="B45" s="20" t="n"/>
      <c r="C45" s="21" t="n"/>
      <c r="D45" s="20" t="n"/>
      <c r="E45" s="20" t="n"/>
      <c r="F45" s="21" t="n"/>
      <c r="G45" s="20" t="n"/>
      <c r="H45" s="20" t="n"/>
      <c r="I45" s="20" t="n"/>
      <c r="J45" s="20" t="n"/>
      <c r="K45" s="20" t="n"/>
      <c r="L45" s="20" t="n"/>
      <c r="M45" s="20" t="n"/>
      <c r="N45" s="20" t="n"/>
    </row>
    <row r="46">
      <c r="A46" s="20" t="n"/>
      <c r="B46" s="20" t="n"/>
      <c r="C46" s="21" t="n"/>
      <c r="D46" s="20" t="n"/>
      <c r="E46" s="20" t="n"/>
      <c r="F46" s="21" t="n"/>
      <c r="G46" s="20" t="n"/>
      <c r="H46" s="20" t="n"/>
      <c r="I46" s="20" t="n"/>
      <c r="J46" s="20" t="n"/>
      <c r="K46" s="20" t="n"/>
      <c r="L46" s="20" t="n"/>
      <c r="M46" s="20" t="n"/>
      <c r="N46" s="20" t="n"/>
    </row>
    <row r="47">
      <c r="A47" s="20" t="n"/>
      <c r="B47" s="20" t="n"/>
      <c r="C47" s="21" t="n"/>
      <c r="D47" s="20" t="n"/>
      <c r="E47" s="20" t="n"/>
      <c r="F47" s="21" t="n"/>
      <c r="G47" s="20" t="n"/>
      <c r="H47" s="20" t="n"/>
      <c r="I47" s="20" t="n"/>
      <c r="J47" s="20" t="n"/>
      <c r="K47" s="20" t="n"/>
      <c r="L47" s="20" t="n"/>
      <c r="M47" s="20" t="n"/>
      <c r="N47" s="20" t="n"/>
    </row>
    <row r="48">
      <c r="A48" s="20" t="n"/>
      <c r="B48" s="20" t="n"/>
      <c r="C48" s="21" t="n"/>
      <c r="D48" s="20" t="n"/>
      <c r="E48" s="20" t="n"/>
      <c r="F48" s="21" t="n"/>
      <c r="G48" s="20" t="n"/>
      <c r="H48" s="20" t="n"/>
      <c r="I48" s="20" t="n"/>
      <c r="J48" s="20" t="n"/>
      <c r="K48" s="20" t="n"/>
      <c r="L48" s="20" t="n"/>
      <c r="M48" s="20" t="n"/>
      <c r="N48" s="20" t="n"/>
    </row>
    <row r="49">
      <c r="A49" s="20" t="n"/>
      <c r="B49" s="20" t="n"/>
      <c r="C49" s="21" t="n"/>
      <c r="D49" s="20" t="n"/>
      <c r="E49" s="20" t="n"/>
      <c r="F49" s="21" t="n"/>
      <c r="G49" s="20" t="n"/>
      <c r="H49" s="20" t="n"/>
      <c r="I49" s="20" t="n"/>
      <c r="J49" s="20" t="n"/>
      <c r="K49" s="20" t="n"/>
      <c r="L49" s="20" t="n"/>
      <c r="M49" s="20" t="n"/>
      <c r="N49" s="20" t="n"/>
    </row>
    <row r="50">
      <c r="A50" s="20" t="n"/>
      <c r="B50" s="20" t="n"/>
      <c r="C50" s="21" t="n"/>
      <c r="D50" s="20" t="n"/>
      <c r="E50" s="20" t="n"/>
      <c r="F50" s="21" t="n"/>
      <c r="G50" s="20" t="n"/>
      <c r="H50" s="20" t="n"/>
      <c r="I50" s="20" t="n"/>
      <c r="J50" s="20" t="n"/>
      <c r="K50" s="20" t="n"/>
      <c r="L50" s="20" t="n"/>
      <c r="M50" s="20" t="n"/>
      <c r="N50" s="20" t="n"/>
    </row>
    <row r="51">
      <c r="A51" s="20" t="n"/>
      <c r="B51" s="20" t="n"/>
      <c r="C51" s="21" t="n"/>
      <c r="D51" s="20" t="n"/>
      <c r="E51" s="20" t="n"/>
      <c r="F51" s="21" t="n"/>
      <c r="G51" s="20" t="n"/>
      <c r="H51" s="20" t="n"/>
      <c r="I51" s="20" t="n"/>
      <c r="J51" s="20" t="n"/>
      <c r="K51" s="20" t="n"/>
      <c r="L51" s="20" t="n"/>
      <c r="M51" s="20" t="n"/>
      <c r="N51" s="20" t="n"/>
    </row>
    <row r="52">
      <c r="A52" s="20" t="n"/>
      <c r="B52" s="20" t="n"/>
      <c r="C52" s="21" t="n"/>
      <c r="D52" s="20" t="n"/>
      <c r="E52" s="20" t="n"/>
      <c r="F52" s="21" t="n"/>
      <c r="G52" s="20" t="n"/>
      <c r="H52" s="20" t="n"/>
      <c r="I52" s="20" t="n"/>
      <c r="J52" s="20" t="n"/>
      <c r="K52" s="20" t="n"/>
      <c r="L52" s="20" t="n"/>
      <c r="M52" s="20" t="n"/>
      <c r="N52" s="20" t="n"/>
    </row>
    <row r="53">
      <c r="A53" s="20" t="n"/>
      <c r="B53" s="20" t="n"/>
      <c r="C53" s="21" t="n"/>
      <c r="D53" s="20" t="n"/>
      <c r="E53" s="20" t="n"/>
      <c r="F53" s="21" t="n"/>
      <c r="G53" s="20" t="n"/>
      <c r="H53" s="20" t="n"/>
      <c r="I53" s="20" t="n"/>
      <c r="J53" s="20" t="n"/>
      <c r="K53" s="20" t="n"/>
      <c r="L53" s="20" t="n"/>
      <c r="M53" s="20" t="n"/>
      <c r="N53" s="20" t="n"/>
    </row>
    <row r="54">
      <c r="A54" s="20" t="n"/>
      <c r="B54" s="20" t="n"/>
      <c r="C54" s="21" t="n"/>
      <c r="D54" s="20" t="n"/>
      <c r="E54" s="20" t="n"/>
      <c r="F54" s="21" t="n"/>
      <c r="G54" s="20" t="n"/>
      <c r="H54" s="20" t="n"/>
      <c r="I54" s="20" t="n"/>
      <c r="J54" s="20" t="n"/>
      <c r="K54" s="20" t="n"/>
      <c r="L54" s="20" t="n"/>
      <c r="M54" s="20" t="n"/>
      <c r="N54" s="20" t="n"/>
    </row>
    <row r="55">
      <c r="A55" s="20" t="n"/>
      <c r="B55" s="20" t="n"/>
      <c r="C55" s="21" t="n"/>
      <c r="D55" s="20" t="n"/>
      <c r="E55" s="20" t="n"/>
      <c r="F55" s="21" t="n"/>
      <c r="G55" s="20" t="n"/>
      <c r="H55" s="20" t="n"/>
      <c r="I55" s="20" t="n"/>
      <c r="J55" s="20" t="n"/>
      <c r="K55" s="20" t="n"/>
      <c r="L55" s="20" t="n"/>
      <c r="M55" s="20" t="n"/>
      <c r="N55" s="20" t="n"/>
    </row>
    <row r="56">
      <c r="A56" s="20" t="n"/>
      <c r="B56" s="20" t="n"/>
      <c r="C56" s="21" t="n"/>
      <c r="D56" s="20" t="n"/>
      <c r="E56" s="20" t="n"/>
      <c r="F56" s="21" t="n"/>
      <c r="G56" s="20" t="n"/>
      <c r="H56" s="20" t="n"/>
      <c r="I56" s="20" t="n"/>
      <c r="J56" s="20" t="n"/>
      <c r="K56" s="20" t="n"/>
      <c r="L56" s="20" t="n"/>
      <c r="M56" s="20" t="n"/>
      <c r="N56" s="20" t="n"/>
    </row>
    <row r="57">
      <c r="A57" s="20" t="n"/>
      <c r="B57" s="20" t="n"/>
      <c r="C57" s="21" t="n"/>
      <c r="D57" s="20" t="n"/>
      <c r="E57" s="20" t="n"/>
      <c r="F57" s="21" t="n"/>
      <c r="G57" s="20" t="n"/>
      <c r="H57" s="20" t="n"/>
      <c r="I57" s="20" t="n"/>
      <c r="J57" s="20" t="n"/>
      <c r="K57" s="20" t="n"/>
      <c r="L57" s="20" t="n"/>
      <c r="M57" s="20" t="n"/>
      <c r="N57" s="20" t="n"/>
    </row>
    <row r="58">
      <c r="A58" s="20" t="n"/>
      <c r="B58" s="20" t="n"/>
      <c r="C58" s="21" t="n"/>
      <c r="D58" s="20" t="n"/>
      <c r="E58" s="20" t="n"/>
      <c r="F58" s="21" t="n"/>
      <c r="G58" s="20" t="n"/>
      <c r="H58" s="20" t="n"/>
      <c r="I58" s="20" t="n"/>
      <c r="J58" s="20" t="n"/>
      <c r="K58" s="20" t="n"/>
      <c r="L58" s="20" t="n"/>
      <c r="M58" s="20" t="n"/>
      <c r="N58" s="20" t="n"/>
    </row>
    <row r="59">
      <c r="A59" s="20" t="n"/>
      <c r="B59" s="20" t="n"/>
      <c r="C59" s="21" t="n"/>
      <c r="D59" s="20" t="n"/>
      <c r="E59" s="20" t="n"/>
      <c r="F59" s="21" t="n"/>
      <c r="G59" s="20" t="n"/>
      <c r="H59" s="20" t="n"/>
      <c r="I59" s="20" t="n"/>
      <c r="J59" s="20" t="n"/>
      <c r="K59" s="20" t="n"/>
      <c r="L59" s="20" t="n"/>
      <c r="M59" s="20" t="n"/>
      <c r="N59" s="20" t="n"/>
    </row>
    <row r="60">
      <c r="A60" s="20" t="n"/>
      <c r="B60" s="20" t="n"/>
      <c r="C60" s="21" t="n"/>
      <c r="D60" s="20" t="n"/>
      <c r="E60" s="20" t="n"/>
      <c r="F60" s="21" t="n"/>
      <c r="G60" s="20" t="n"/>
      <c r="H60" s="20" t="n"/>
      <c r="I60" s="20" t="n"/>
      <c r="J60" s="20" t="n"/>
      <c r="K60" s="20" t="n"/>
      <c r="L60" s="20" t="n"/>
      <c r="M60" s="20" t="n"/>
      <c r="N60" s="20" t="n"/>
    </row>
    <row r="61">
      <c r="A61" s="20" t="n"/>
      <c r="B61" s="20" t="n"/>
      <c r="C61" s="21" t="n"/>
      <c r="D61" s="20" t="n"/>
      <c r="E61" s="20" t="n"/>
      <c r="F61" s="21" t="n"/>
      <c r="G61" s="20" t="n"/>
      <c r="H61" s="20" t="n"/>
      <c r="I61" s="20" t="n"/>
      <c r="J61" s="20" t="n"/>
      <c r="K61" s="20" t="n"/>
      <c r="L61" s="20" t="n"/>
      <c r="M61" s="20" t="n"/>
      <c r="N61" s="20" t="n"/>
    </row>
    <row r="63">
      <c r="A63" s="22" t="inlineStr">
        <is>
          <t>LEYENDA: La nomina es permanente. Un trabajador agregado aqui permanece aunque no aparezca en el huellero. Use el boton PERSONAL para altas controladas.</t>
        </is>
      </c>
    </row>
  </sheetData>
  <mergeCells count="1">
    <mergeCell ref="A1:N1"/>
  </mergeCells>
  <dataValidations count="2">
    <dataValidation sqref="M3:M61" showDropDown="0" showInputMessage="0" showErrorMessage="0" allowBlank="1" type="list">
      <formula1>"SI,NO"</formula1>
    </dataValidation>
    <dataValidation sqref="K3:K61" showDropDown="0" showInputMessage="0" showErrorMessage="0" allowBlank="1" type="list">
      <formula1>"ESTANDAR,PERSONALIZADO,MEDIO TIEMPO"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</cols>
  <sheetData>
    <row r="1">
      <c r="A1" s="10" t="inlineStr">
        <is>
          <t>HORARIOS PERSONALIZADOS POR TRABAJADOR (prioridad: PERSONALIZADO &gt; GENERAL)</t>
        </is>
      </c>
    </row>
    <row r="2">
      <c r="A2" s="17" t="inlineStr">
        <is>
          <t>ID PERSONAL</t>
        </is>
      </c>
      <c r="B2" s="17" t="inlineStr">
        <is>
          <t>APELLIDOS Y NOMBRES</t>
        </is>
      </c>
      <c r="C2" s="17" t="inlineStr">
        <is>
          <t>ENT LUN</t>
        </is>
      </c>
      <c r="D2" s="17" t="inlineStr">
        <is>
          <t>ENT MAR</t>
        </is>
      </c>
      <c r="E2" s="17" t="inlineStr">
        <is>
          <t>ENT MIE</t>
        </is>
      </c>
      <c r="F2" s="17" t="inlineStr">
        <is>
          <t>ENT JUE</t>
        </is>
      </c>
      <c r="G2" s="17" t="inlineStr">
        <is>
          <t>ENT VIE</t>
        </is>
      </c>
      <c r="H2" s="17" t="inlineStr">
        <is>
          <t>ENT SAB</t>
        </is>
      </c>
      <c r="I2" s="17" t="inlineStr">
        <is>
          <t>ENT TARDE</t>
        </is>
      </c>
      <c r="J2" s="17" t="inlineStr">
        <is>
          <t>OBS</t>
        </is>
      </c>
    </row>
    <row r="3">
      <c r="A3" s="20" t="n"/>
      <c r="B3" s="20" t="n"/>
      <c r="C3" s="23" t="n"/>
      <c r="D3" s="23" t="n"/>
      <c r="E3" s="23" t="n"/>
      <c r="F3" s="23" t="n"/>
      <c r="G3" s="23" t="n"/>
      <c r="H3" s="23" t="n"/>
      <c r="I3" s="23" t="n"/>
      <c r="J3" s="20" t="n"/>
    </row>
    <row r="4">
      <c r="A4" s="20" t="n"/>
      <c r="B4" s="20" t="n"/>
      <c r="C4" s="23" t="n"/>
      <c r="D4" s="23" t="n"/>
      <c r="E4" s="23" t="n"/>
      <c r="F4" s="23" t="n"/>
      <c r="G4" s="23" t="n"/>
      <c r="H4" s="23" t="n"/>
      <c r="I4" s="23" t="n"/>
      <c r="J4" s="20" t="n"/>
    </row>
    <row r="5">
      <c r="A5" s="20" t="n"/>
      <c r="B5" s="20" t="n"/>
      <c r="C5" s="23" t="n"/>
      <c r="D5" s="23" t="n"/>
      <c r="E5" s="23" t="n"/>
      <c r="F5" s="23" t="n"/>
      <c r="G5" s="23" t="n"/>
      <c r="H5" s="23" t="n"/>
      <c r="I5" s="23" t="n"/>
      <c r="J5" s="20" t="n"/>
    </row>
    <row r="6">
      <c r="A6" s="20" t="n"/>
      <c r="B6" s="20" t="n"/>
      <c r="C6" s="23" t="n"/>
      <c r="D6" s="23" t="n"/>
      <c r="E6" s="23" t="n"/>
      <c r="F6" s="23" t="n"/>
      <c r="G6" s="23" t="n"/>
      <c r="H6" s="23" t="n"/>
      <c r="I6" s="23" t="n"/>
      <c r="J6" s="20" t="n"/>
    </row>
    <row r="7">
      <c r="A7" s="20" t="n"/>
      <c r="B7" s="20" t="n"/>
      <c r="C7" s="23" t="n"/>
      <c r="D7" s="23" t="n"/>
      <c r="E7" s="23" t="n"/>
      <c r="F7" s="23" t="n"/>
      <c r="G7" s="23" t="n"/>
      <c r="H7" s="23" t="n"/>
      <c r="I7" s="23" t="n"/>
      <c r="J7" s="20" t="n"/>
    </row>
    <row r="8">
      <c r="A8" s="20" t="n"/>
      <c r="B8" s="20" t="n"/>
      <c r="C8" s="23" t="n"/>
      <c r="D8" s="23" t="n"/>
      <c r="E8" s="23" t="n"/>
      <c r="F8" s="23" t="n"/>
      <c r="G8" s="23" t="n"/>
      <c r="H8" s="23" t="n"/>
      <c r="I8" s="23" t="n"/>
      <c r="J8" s="20" t="n"/>
    </row>
    <row r="9">
      <c r="A9" s="20" t="n"/>
      <c r="B9" s="20" t="n"/>
      <c r="C9" s="23" t="n"/>
      <c r="D9" s="23" t="n"/>
      <c r="E9" s="23" t="n"/>
      <c r="F9" s="23" t="n"/>
      <c r="G9" s="23" t="n"/>
      <c r="H9" s="23" t="n"/>
      <c r="I9" s="23" t="n"/>
      <c r="J9" s="20" t="n"/>
    </row>
    <row r="10">
      <c r="A10" s="20" t="n"/>
      <c r="B10" s="20" t="n"/>
      <c r="C10" s="23" t="n"/>
      <c r="D10" s="23" t="n"/>
      <c r="E10" s="23" t="n"/>
      <c r="F10" s="23" t="n"/>
      <c r="G10" s="23" t="n"/>
      <c r="H10" s="23" t="n"/>
      <c r="I10" s="23" t="n"/>
      <c r="J10" s="20" t="n"/>
    </row>
    <row r="11">
      <c r="A11" s="20" t="n"/>
      <c r="B11" s="20" t="n"/>
      <c r="C11" s="23" t="n"/>
      <c r="D11" s="23" t="n"/>
      <c r="E11" s="23" t="n"/>
      <c r="F11" s="23" t="n"/>
      <c r="G11" s="23" t="n"/>
      <c r="H11" s="23" t="n"/>
      <c r="I11" s="23" t="n"/>
      <c r="J11" s="20" t="n"/>
    </row>
    <row r="12">
      <c r="A12" s="20" t="n"/>
      <c r="B12" s="20" t="n"/>
      <c r="C12" s="23" t="n"/>
      <c r="D12" s="23" t="n"/>
      <c r="E12" s="23" t="n"/>
      <c r="F12" s="23" t="n"/>
      <c r="G12" s="23" t="n"/>
      <c r="H12" s="23" t="n"/>
      <c r="I12" s="23" t="n"/>
      <c r="J12" s="20" t="n"/>
    </row>
    <row r="13">
      <c r="A13" s="20" t="n"/>
      <c r="B13" s="20" t="n"/>
      <c r="C13" s="23" t="n"/>
      <c r="D13" s="23" t="n"/>
      <c r="E13" s="23" t="n"/>
      <c r="F13" s="23" t="n"/>
      <c r="G13" s="23" t="n"/>
      <c r="H13" s="23" t="n"/>
      <c r="I13" s="23" t="n"/>
      <c r="J13" s="20" t="n"/>
    </row>
    <row r="14">
      <c r="A14" s="20" t="n"/>
      <c r="B14" s="20" t="n"/>
      <c r="C14" s="23" t="n"/>
      <c r="D14" s="23" t="n"/>
      <c r="E14" s="23" t="n"/>
      <c r="F14" s="23" t="n"/>
      <c r="G14" s="23" t="n"/>
      <c r="H14" s="23" t="n"/>
      <c r="I14" s="23" t="n"/>
      <c r="J14" s="20" t="n"/>
    </row>
    <row r="15">
      <c r="A15" s="20" t="n"/>
      <c r="B15" s="20" t="n"/>
      <c r="C15" s="23" t="n"/>
      <c r="D15" s="23" t="n"/>
      <c r="E15" s="23" t="n"/>
      <c r="F15" s="23" t="n"/>
      <c r="G15" s="23" t="n"/>
      <c r="H15" s="23" t="n"/>
      <c r="I15" s="23" t="n"/>
      <c r="J15" s="20" t="n"/>
    </row>
    <row r="16">
      <c r="A16" s="20" t="n"/>
      <c r="B16" s="20" t="n"/>
      <c r="C16" s="23" t="n"/>
      <c r="D16" s="23" t="n"/>
      <c r="E16" s="23" t="n"/>
      <c r="F16" s="23" t="n"/>
      <c r="G16" s="23" t="n"/>
      <c r="H16" s="23" t="n"/>
      <c r="I16" s="23" t="n"/>
      <c r="J16" s="20" t="n"/>
    </row>
    <row r="17">
      <c r="A17" s="20" t="n"/>
      <c r="B17" s="20" t="n"/>
      <c r="C17" s="23" t="n"/>
      <c r="D17" s="23" t="n"/>
      <c r="E17" s="23" t="n"/>
      <c r="F17" s="23" t="n"/>
      <c r="G17" s="23" t="n"/>
      <c r="H17" s="23" t="n"/>
      <c r="I17" s="23" t="n"/>
      <c r="J17" s="20" t="n"/>
    </row>
    <row r="18">
      <c r="A18" s="20" t="n"/>
      <c r="B18" s="20" t="n"/>
      <c r="C18" s="23" t="n"/>
      <c r="D18" s="23" t="n"/>
      <c r="E18" s="23" t="n"/>
      <c r="F18" s="23" t="n"/>
      <c r="G18" s="23" t="n"/>
      <c r="H18" s="23" t="n"/>
      <c r="I18" s="23" t="n"/>
      <c r="J18" s="20" t="n"/>
    </row>
    <row r="19">
      <c r="A19" s="20" t="n"/>
      <c r="B19" s="20" t="n"/>
      <c r="C19" s="23" t="n"/>
      <c r="D19" s="23" t="n"/>
      <c r="E19" s="23" t="n"/>
      <c r="F19" s="23" t="n"/>
      <c r="G19" s="23" t="n"/>
      <c r="H19" s="23" t="n"/>
      <c r="I19" s="23" t="n"/>
      <c r="J19" s="20" t="n"/>
    </row>
    <row r="20">
      <c r="A20" s="20" t="n"/>
      <c r="B20" s="20" t="n"/>
      <c r="C20" s="23" t="n"/>
      <c r="D20" s="23" t="n"/>
      <c r="E20" s="23" t="n"/>
      <c r="F20" s="23" t="n"/>
      <c r="G20" s="23" t="n"/>
      <c r="H20" s="23" t="n"/>
      <c r="I20" s="23" t="n"/>
      <c r="J20" s="20" t="n"/>
    </row>
    <row r="21">
      <c r="A21" s="20" t="n"/>
      <c r="B21" s="20" t="n"/>
      <c r="C21" s="23" t="n"/>
      <c r="D21" s="23" t="n"/>
      <c r="E21" s="23" t="n"/>
      <c r="F21" s="23" t="n"/>
      <c r="G21" s="23" t="n"/>
      <c r="H21" s="23" t="n"/>
      <c r="I21" s="23" t="n"/>
      <c r="J21" s="20" t="n"/>
    </row>
    <row r="22">
      <c r="A22" s="20" t="n"/>
      <c r="B22" s="20" t="n"/>
      <c r="C22" s="23" t="n"/>
      <c r="D22" s="23" t="n"/>
      <c r="E22" s="23" t="n"/>
      <c r="F22" s="23" t="n"/>
      <c r="G22" s="23" t="n"/>
      <c r="H22" s="23" t="n"/>
      <c r="I22" s="23" t="n"/>
      <c r="J22" s="20" t="n"/>
    </row>
    <row r="23">
      <c r="A23" s="20" t="n"/>
      <c r="B23" s="20" t="n"/>
      <c r="C23" s="23" t="n"/>
      <c r="D23" s="23" t="n"/>
      <c r="E23" s="23" t="n"/>
      <c r="F23" s="23" t="n"/>
      <c r="G23" s="23" t="n"/>
      <c r="H23" s="23" t="n"/>
      <c r="I23" s="23" t="n"/>
      <c r="J23" s="20" t="n"/>
    </row>
    <row r="24">
      <c r="A24" s="20" t="n"/>
      <c r="B24" s="20" t="n"/>
      <c r="C24" s="23" t="n"/>
      <c r="D24" s="23" t="n"/>
      <c r="E24" s="23" t="n"/>
      <c r="F24" s="23" t="n"/>
      <c r="G24" s="23" t="n"/>
      <c r="H24" s="23" t="n"/>
      <c r="I24" s="23" t="n"/>
      <c r="J24" s="20" t="n"/>
    </row>
    <row r="25">
      <c r="A25" s="20" t="n"/>
      <c r="B25" s="20" t="n"/>
      <c r="C25" s="23" t="n"/>
      <c r="D25" s="23" t="n"/>
      <c r="E25" s="23" t="n"/>
      <c r="F25" s="23" t="n"/>
      <c r="G25" s="23" t="n"/>
      <c r="H25" s="23" t="n"/>
      <c r="I25" s="23" t="n"/>
      <c r="J25" s="20" t="n"/>
    </row>
    <row r="26">
      <c r="A26" s="20" t="n"/>
      <c r="B26" s="20" t="n"/>
      <c r="C26" s="23" t="n"/>
      <c r="D26" s="23" t="n"/>
      <c r="E26" s="23" t="n"/>
      <c r="F26" s="23" t="n"/>
      <c r="G26" s="23" t="n"/>
      <c r="H26" s="23" t="n"/>
      <c r="I26" s="23" t="n"/>
      <c r="J26" s="20" t="n"/>
    </row>
    <row r="27">
      <c r="A27" s="20" t="n"/>
      <c r="B27" s="20" t="n"/>
      <c r="C27" s="23" t="n"/>
      <c r="D27" s="23" t="n"/>
      <c r="E27" s="23" t="n"/>
      <c r="F27" s="23" t="n"/>
      <c r="G27" s="23" t="n"/>
      <c r="H27" s="23" t="n"/>
      <c r="I27" s="23" t="n"/>
      <c r="J27" s="20" t="n"/>
    </row>
    <row r="28">
      <c r="A28" s="20" t="n"/>
      <c r="B28" s="20" t="n"/>
      <c r="C28" s="23" t="n"/>
      <c r="D28" s="23" t="n"/>
      <c r="E28" s="23" t="n"/>
      <c r="F28" s="23" t="n"/>
      <c r="G28" s="23" t="n"/>
      <c r="H28" s="23" t="n"/>
      <c r="I28" s="23" t="n"/>
      <c r="J28" s="20" t="n"/>
    </row>
    <row r="29">
      <c r="A29" s="20" t="n"/>
      <c r="B29" s="20" t="n"/>
      <c r="C29" s="23" t="n"/>
      <c r="D29" s="23" t="n"/>
      <c r="E29" s="23" t="n"/>
      <c r="F29" s="23" t="n"/>
      <c r="G29" s="23" t="n"/>
      <c r="H29" s="23" t="n"/>
      <c r="I29" s="23" t="n"/>
      <c r="J29" s="20" t="n"/>
    </row>
    <row r="30">
      <c r="A30" s="20" t="n"/>
      <c r="B30" s="20" t="n"/>
      <c r="C30" s="23" t="n"/>
      <c r="D30" s="23" t="n"/>
      <c r="E30" s="23" t="n"/>
      <c r="F30" s="23" t="n"/>
      <c r="G30" s="23" t="n"/>
      <c r="H30" s="23" t="n"/>
      <c r="I30" s="23" t="n"/>
      <c r="J30" s="20" t="n"/>
    </row>
    <row r="31">
      <c r="A31" s="20" t="n"/>
      <c r="B31" s="20" t="n"/>
      <c r="C31" s="23" t="n"/>
      <c r="D31" s="23" t="n"/>
      <c r="E31" s="23" t="n"/>
      <c r="F31" s="23" t="n"/>
      <c r="G31" s="23" t="n"/>
      <c r="H31" s="23" t="n"/>
      <c r="I31" s="23" t="n"/>
      <c r="J31" s="20" t="n"/>
    </row>
    <row r="32">
      <c r="A32" s="20" t="n"/>
      <c r="B32" s="20" t="n"/>
      <c r="C32" s="23" t="n"/>
      <c r="D32" s="23" t="n"/>
      <c r="E32" s="23" t="n"/>
      <c r="F32" s="23" t="n"/>
      <c r="G32" s="23" t="n"/>
      <c r="H32" s="23" t="n"/>
      <c r="I32" s="23" t="n"/>
      <c r="J32" s="20" t="n"/>
    </row>
    <row r="33">
      <c r="A33" s="20" t="n"/>
      <c r="B33" s="20" t="n"/>
      <c r="C33" s="23" t="n"/>
      <c r="D33" s="23" t="n"/>
      <c r="E33" s="23" t="n"/>
      <c r="F33" s="23" t="n"/>
      <c r="G33" s="23" t="n"/>
      <c r="H33" s="23" t="n"/>
      <c r="I33" s="23" t="n"/>
      <c r="J33" s="20" t="n"/>
    </row>
    <row r="34">
      <c r="A34" s="20" t="n"/>
      <c r="B34" s="20" t="n"/>
      <c r="C34" s="23" t="n"/>
      <c r="D34" s="23" t="n"/>
      <c r="E34" s="23" t="n"/>
      <c r="F34" s="23" t="n"/>
      <c r="G34" s="23" t="n"/>
      <c r="H34" s="23" t="n"/>
      <c r="I34" s="23" t="n"/>
      <c r="J34" s="20" t="n"/>
    </row>
    <row r="35">
      <c r="A35" s="20" t="n"/>
      <c r="B35" s="20" t="n"/>
      <c r="C35" s="23" t="n"/>
      <c r="D35" s="23" t="n"/>
      <c r="E35" s="23" t="n"/>
      <c r="F35" s="23" t="n"/>
      <c r="G35" s="23" t="n"/>
      <c r="H35" s="23" t="n"/>
      <c r="I35" s="23" t="n"/>
      <c r="J35" s="20" t="n"/>
    </row>
    <row r="36">
      <c r="A36" s="20" t="n"/>
      <c r="B36" s="20" t="n"/>
      <c r="C36" s="23" t="n"/>
      <c r="D36" s="23" t="n"/>
      <c r="E36" s="23" t="n"/>
      <c r="F36" s="23" t="n"/>
      <c r="G36" s="23" t="n"/>
      <c r="H36" s="23" t="n"/>
      <c r="I36" s="23" t="n"/>
      <c r="J36" s="20" t="n"/>
    </row>
    <row r="37">
      <c r="A37" s="20" t="n"/>
      <c r="B37" s="20" t="n"/>
      <c r="C37" s="23" t="n"/>
      <c r="D37" s="23" t="n"/>
      <c r="E37" s="23" t="n"/>
      <c r="F37" s="23" t="n"/>
      <c r="G37" s="23" t="n"/>
      <c r="H37" s="23" t="n"/>
      <c r="I37" s="23" t="n"/>
      <c r="J37" s="20" t="n"/>
    </row>
    <row r="38">
      <c r="A38" s="20" t="n"/>
      <c r="B38" s="20" t="n"/>
      <c r="C38" s="23" t="n"/>
      <c r="D38" s="23" t="n"/>
      <c r="E38" s="23" t="n"/>
      <c r="F38" s="23" t="n"/>
      <c r="G38" s="23" t="n"/>
      <c r="H38" s="23" t="n"/>
      <c r="I38" s="23" t="n"/>
      <c r="J38" s="20" t="n"/>
    </row>
    <row r="39">
      <c r="A39" s="20" t="n"/>
      <c r="B39" s="20" t="n"/>
      <c r="C39" s="23" t="n"/>
      <c r="D39" s="23" t="n"/>
      <c r="E39" s="23" t="n"/>
      <c r="F39" s="23" t="n"/>
      <c r="G39" s="23" t="n"/>
      <c r="H39" s="23" t="n"/>
      <c r="I39" s="23" t="n"/>
      <c r="J39" s="20" t="n"/>
    </row>
    <row r="40">
      <c r="A40" s="20" t="n"/>
      <c r="B40" s="20" t="n"/>
      <c r="C40" s="23" t="n"/>
      <c r="D40" s="23" t="n"/>
      <c r="E40" s="23" t="n"/>
      <c r="F40" s="23" t="n"/>
      <c r="G40" s="23" t="n"/>
      <c r="H40" s="23" t="n"/>
      <c r="I40" s="23" t="n"/>
      <c r="J40" s="20" t="n"/>
    </row>
    <row r="41">
      <c r="A41" s="20" t="n"/>
      <c r="B41" s="20" t="n"/>
      <c r="C41" s="23" t="n"/>
      <c r="D41" s="23" t="n"/>
      <c r="E41" s="23" t="n"/>
      <c r="F41" s="23" t="n"/>
      <c r="G41" s="23" t="n"/>
      <c r="H41" s="23" t="n"/>
      <c r="I41" s="23" t="n"/>
      <c r="J41" s="20" t="n"/>
    </row>
    <row r="42">
      <c r="A42" s="20" t="n"/>
      <c r="B42" s="20" t="n"/>
      <c r="C42" s="23" t="n"/>
      <c r="D42" s="23" t="n"/>
      <c r="E42" s="23" t="n"/>
      <c r="F42" s="23" t="n"/>
      <c r="G42" s="23" t="n"/>
      <c r="H42" s="23" t="n"/>
      <c r="I42" s="23" t="n"/>
      <c r="J42" s="20" t="n"/>
    </row>
    <row r="43">
      <c r="A43" s="20" t="n"/>
      <c r="B43" s="20" t="n"/>
      <c r="C43" s="23" t="n"/>
      <c r="D43" s="23" t="n"/>
      <c r="E43" s="23" t="n"/>
      <c r="F43" s="23" t="n"/>
      <c r="G43" s="23" t="n"/>
      <c r="H43" s="23" t="n"/>
      <c r="I43" s="23" t="n"/>
      <c r="J43" s="20" t="n"/>
    </row>
    <row r="44">
      <c r="A44" s="20" t="n"/>
      <c r="B44" s="20" t="n"/>
      <c r="C44" s="23" t="n"/>
      <c r="D44" s="23" t="n"/>
      <c r="E44" s="23" t="n"/>
      <c r="F44" s="23" t="n"/>
      <c r="G44" s="23" t="n"/>
      <c r="H44" s="23" t="n"/>
      <c r="I44" s="23" t="n"/>
      <c r="J44" s="20" t="n"/>
    </row>
    <row r="45">
      <c r="A45" s="20" t="n"/>
      <c r="B45" s="20" t="n"/>
      <c r="C45" s="23" t="n"/>
      <c r="D45" s="23" t="n"/>
      <c r="E45" s="23" t="n"/>
      <c r="F45" s="23" t="n"/>
      <c r="G45" s="23" t="n"/>
      <c r="H45" s="23" t="n"/>
      <c r="I45" s="23" t="n"/>
      <c r="J45" s="20" t="n"/>
    </row>
    <row r="46">
      <c r="A46" s="20" t="n"/>
      <c r="B46" s="20" t="n"/>
      <c r="C46" s="23" t="n"/>
      <c r="D46" s="23" t="n"/>
      <c r="E46" s="23" t="n"/>
      <c r="F46" s="23" t="n"/>
      <c r="G46" s="23" t="n"/>
      <c r="H46" s="23" t="n"/>
      <c r="I46" s="23" t="n"/>
      <c r="J46" s="20" t="n"/>
    </row>
    <row r="47">
      <c r="A47" s="20" t="n"/>
      <c r="B47" s="20" t="n"/>
      <c r="C47" s="23" t="n"/>
      <c r="D47" s="23" t="n"/>
      <c r="E47" s="23" t="n"/>
      <c r="F47" s="23" t="n"/>
      <c r="G47" s="23" t="n"/>
      <c r="H47" s="23" t="n"/>
      <c r="I47" s="23" t="n"/>
      <c r="J47" s="20" t="n"/>
    </row>
    <row r="48">
      <c r="A48" s="20" t="n"/>
      <c r="B48" s="20" t="n"/>
      <c r="C48" s="23" t="n"/>
      <c r="D48" s="23" t="n"/>
      <c r="E48" s="23" t="n"/>
      <c r="F48" s="23" t="n"/>
      <c r="G48" s="23" t="n"/>
      <c r="H48" s="23" t="n"/>
      <c r="I48" s="23" t="n"/>
      <c r="J48" s="20" t="n"/>
    </row>
    <row r="49">
      <c r="A49" s="20" t="n"/>
      <c r="B49" s="20" t="n"/>
      <c r="C49" s="23" t="n"/>
      <c r="D49" s="23" t="n"/>
      <c r="E49" s="23" t="n"/>
      <c r="F49" s="23" t="n"/>
      <c r="G49" s="23" t="n"/>
      <c r="H49" s="23" t="n"/>
      <c r="I49" s="23" t="n"/>
      <c r="J49" s="20" t="n"/>
    </row>
    <row r="50">
      <c r="A50" s="20" t="n"/>
      <c r="B50" s="20" t="n"/>
      <c r="C50" s="23" t="n"/>
      <c r="D50" s="23" t="n"/>
      <c r="E50" s="23" t="n"/>
      <c r="F50" s="23" t="n"/>
      <c r="G50" s="23" t="n"/>
      <c r="H50" s="23" t="n"/>
      <c r="I50" s="23" t="n"/>
      <c r="J50" s="20" t="n"/>
    </row>
    <row r="51">
      <c r="A51" s="20" t="n"/>
      <c r="B51" s="20" t="n"/>
      <c r="C51" s="23" t="n"/>
      <c r="D51" s="23" t="n"/>
      <c r="E51" s="23" t="n"/>
      <c r="F51" s="23" t="n"/>
      <c r="G51" s="23" t="n"/>
      <c r="H51" s="23" t="n"/>
      <c r="I51" s="23" t="n"/>
      <c r="J51" s="20" t="n"/>
    </row>
    <row r="52">
      <c r="A52" s="20" t="n"/>
      <c r="B52" s="20" t="n"/>
      <c r="C52" s="23" t="n"/>
      <c r="D52" s="23" t="n"/>
      <c r="E52" s="23" t="n"/>
      <c r="F52" s="23" t="n"/>
      <c r="G52" s="23" t="n"/>
      <c r="H52" s="23" t="n"/>
      <c r="I52" s="23" t="n"/>
      <c r="J52" s="20" t="n"/>
    </row>
    <row r="53">
      <c r="A53" s="20" t="n"/>
      <c r="B53" s="20" t="n"/>
      <c r="C53" s="23" t="n"/>
      <c r="D53" s="23" t="n"/>
      <c r="E53" s="23" t="n"/>
      <c r="F53" s="23" t="n"/>
      <c r="G53" s="23" t="n"/>
      <c r="H53" s="23" t="n"/>
      <c r="I53" s="23" t="n"/>
      <c r="J53" s="20" t="n"/>
    </row>
    <row r="54">
      <c r="A54" s="20" t="n"/>
      <c r="B54" s="20" t="n"/>
      <c r="C54" s="23" t="n"/>
      <c r="D54" s="23" t="n"/>
      <c r="E54" s="23" t="n"/>
      <c r="F54" s="23" t="n"/>
      <c r="G54" s="23" t="n"/>
      <c r="H54" s="23" t="n"/>
      <c r="I54" s="23" t="n"/>
      <c r="J54" s="20" t="n"/>
    </row>
    <row r="55">
      <c r="A55" s="20" t="n"/>
      <c r="B55" s="20" t="n"/>
      <c r="C55" s="23" t="n"/>
      <c r="D55" s="23" t="n"/>
      <c r="E55" s="23" t="n"/>
      <c r="F55" s="23" t="n"/>
      <c r="G55" s="23" t="n"/>
      <c r="H55" s="23" t="n"/>
      <c r="I55" s="23" t="n"/>
      <c r="J55" s="20" t="n"/>
    </row>
    <row r="56">
      <c r="A56" s="20" t="n"/>
      <c r="B56" s="20" t="n"/>
      <c r="C56" s="23" t="n"/>
      <c r="D56" s="23" t="n"/>
      <c r="E56" s="23" t="n"/>
      <c r="F56" s="23" t="n"/>
      <c r="G56" s="23" t="n"/>
      <c r="H56" s="23" t="n"/>
      <c r="I56" s="23" t="n"/>
      <c r="J56" s="20" t="n"/>
    </row>
    <row r="57">
      <c r="A57" s="20" t="n"/>
      <c r="B57" s="20" t="n"/>
      <c r="C57" s="23" t="n"/>
      <c r="D57" s="23" t="n"/>
      <c r="E57" s="23" t="n"/>
      <c r="F57" s="23" t="n"/>
      <c r="G57" s="23" t="n"/>
      <c r="H57" s="23" t="n"/>
      <c r="I57" s="23" t="n"/>
      <c r="J57" s="20" t="n"/>
    </row>
    <row r="58">
      <c r="A58" s="20" t="n"/>
      <c r="B58" s="20" t="n"/>
      <c r="C58" s="23" t="n"/>
      <c r="D58" s="23" t="n"/>
      <c r="E58" s="23" t="n"/>
      <c r="F58" s="23" t="n"/>
      <c r="G58" s="23" t="n"/>
      <c r="H58" s="23" t="n"/>
      <c r="I58" s="23" t="n"/>
      <c r="J58" s="20" t="n"/>
    </row>
    <row r="59">
      <c r="A59" s="20" t="n"/>
      <c r="B59" s="20" t="n"/>
      <c r="C59" s="23" t="n"/>
      <c r="D59" s="23" t="n"/>
      <c r="E59" s="23" t="n"/>
      <c r="F59" s="23" t="n"/>
      <c r="G59" s="23" t="n"/>
      <c r="H59" s="23" t="n"/>
      <c r="I59" s="23" t="n"/>
      <c r="J59" s="20" t="n"/>
    </row>
    <row r="60">
      <c r="A60" s="20" t="n"/>
      <c r="B60" s="20" t="n"/>
      <c r="C60" s="23" t="n"/>
      <c r="D60" s="23" t="n"/>
      <c r="E60" s="23" t="n"/>
      <c r="F60" s="23" t="n"/>
      <c r="G60" s="23" t="n"/>
      <c r="H60" s="23" t="n"/>
      <c r="I60" s="23" t="n"/>
      <c r="J60" s="20" t="n"/>
    </row>
    <row r="61">
      <c r="A61" s="20" t="n"/>
      <c r="B61" s="20" t="n"/>
      <c r="C61" s="23" t="n"/>
      <c r="D61" s="23" t="n"/>
      <c r="E61" s="23" t="n"/>
      <c r="F61" s="23" t="n"/>
      <c r="G61" s="23" t="n"/>
      <c r="H61" s="23" t="n"/>
      <c r="I61" s="23" t="n"/>
      <c r="J61" s="20" t="n"/>
    </row>
    <row r="62">
      <c r="A62" s="20" t="n"/>
      <c r="B62" s="20" t="n"/>
      <c r="C62" s="23" t="n"/>
      <c r="D62" s="23" t="n"/>
      <c r="E62" s="23" t="n"/>
      <c r="F62" s="23" t="n"/>
      <c r="G62" s="23" t="n"/>
      <c r="H62" s="23" t="n"/>
      <c r="I62" s="23" t="n"/>
      <c r="J62" s="20" t="n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40" customWidth="1" min="4" max="4"/>
  </cols>
  <sheetData>
    <row r="1">
      <c r="A1" s="10" t="inlineStr">
        <is>
          <t>CALENDARIO (feriados, descansos, eventos)</t>
        </is>
      </c>
    </row>
    <row r="2">
      <c r="A2" s="17" t="inlineStr">
        <is>
          <t>FECHA</t>
        </is>
      </c>
      <c r="B2" s="17" t="inlineStr">
        <is>
          <t>DIA</t>
        </is>
      </c>
      <c r="C2" s="17" t="inlineStr">
        <is>
          <t>TIPO</t>
        </is>
      </c>
      <c r="D2" s="17" t="inlineStr">
        <is>
          <t>DESCRIPCION</t>
        </is>
      </c>
    </row>
    <row r="3">
      <c r="A3" s="19" t="n">
        <v>46023</v>
      </c>
      <c r="B3" s="7">
        <f>TEXT(A3,"dddd")</f>
        <v/>
      </c>
      <c r="C3" s="7" t="inlineStr">
        <is>
          <t>FERIADO</t>
        </is>
      </c>
      <c r="D3" s="7" t="inlineStr">
        <is>
          <t>Año Nuevo</t>
        </is>
      </c>
    </row>
    <row r="4">
      <c r="A4" s="19" t="n">
        <v>46114</v>
      </c>
      <c r="B4" s="7">
        <f>TEXT(A4,"dddd")</f>
        <v/>
      </c>
      <c r="C4" s="7" t="inlineStr">
        <is>
          <t>FERIADO</t>
        </is>
      </c>
      <c r="D4" s="7" t="inlineStr">
        <is>
          <t>Jueves Santo</t>
        </is>
      </c>
    </row>
    <row r="5">
      <c r="A5" s="19" t="n">
        <v>46115</v>
      </c>
      <c r="B5" s="7">
        <f>TEXT(A5,"dddd")</f>
        <v/>
      </c>
      <c r="C5" s="7" t="inlineStr">
        <is>
          <t>FERIADO</t>
        </is>
      </c>
      <c r="D5" s="7" t="inlineStr">
        <is>
          <t>Viernes Santo</t>
        </is>
      </c>
    </row>
    <row r="6">
      <c r="A6" s="19" t="n">
        <v>46143</v>
      </c>
      <c r="B6" s="7">
        <f>TEXT(A6,"dddd")</f>
        <v/>
      </c>
      <c r="C6" s="7" t="inlineStr">
        <is>
          <t>FERIADO</t>
        </is>
      </c>
      <c r="D6" s="7" t="inlineStr">
        <is>
          <t>Dia del Trabajo</t>
        </is>
      </c>
    </row>
    <row r="7">
      <c r="A7" s="19" t="n">
        <v>46202</v>
      </c>
      <c r="B7" s="7">
        <f>TEXT(A7,"dddd")</f>
        <v/>
      </c>
      <c r="C7" s="7" t="inlineStr">
        <is>
          <t>FERIADO</t>
        </is>
      </c>
      <c r="D7" s="7" t="inlineStr">
        <is>
          <t>San Pedro y San Pablo</t>
        </is>
      </c>
    </row>
    <row r="8">
      <c r="A8" s="19" t="n">
        <v>46226</v>
      </c>
      <c r="B8" s="7">
        <f>TEXT(A8,"dddd")</f>
        <v/>
      </c>
      <c r="C8" s="7" t="inlineStr">
        <is>
          <t>FERIADO</t>
        </is>
      </c>
      <c r="D8" s="7" t="inlineStr">
        <is>
          <t>Dia FF.AA.</t>
        </is>
      </c>
    </row>
    <row r="9">
      <c r="A9" s="19" t="n">
        <v>46231</v>
      </c>
      <c r="B9" s="7">
        <f>TEXT(A9,"dddd")</f>
        <v/>
      </c>
      <c r="C9" s="7" t="inlineStr">
        <is>
          <t>FERIADO</t>
        </is>
      </c>
      <c r="D9" s="7" t="inlineStr">
        <is>
          <t>Fiestas Patrias</t>
        </is>
      </c>
    </row>
    <row r="10">
      <c r="A10" s="19" t="n">
        <v>46232</v>
      </c>
      <c r="B10" s="7">
        <f>TEXT(A10,"dddd")</f>
        <v/>
      </c>
      <c r="C10" s="7" t="inlineStr">
        <is>
          <t>FERIADO</t>
        </is>
      </c>
      <c r="D10" s="7" t="inlineStr">
        <is>
          <t>Fiestas Patrias</t>
        </is>
      </c>
    </row>
    <row r="11">
      <c r="A11" s="19" t="n">
        <v>46240</v>
      </c>
      <c r="B11" s="7">
        <f>TEXT(A11,"dddd")</f>
        <v/>
      </c>
      <c r="C11" s="7" t="inlineStr">
        <is>
          <t>FERIADO</t>
        </is>
      </c>
      <c r="D11" s="7" t="inlineStr">
        <is>
          <t>Batalla de Junin</t>
        </is>
      </c>
    </row>
    <row r="12">
      <c r="A12" s="19" t="n">
        <v>46264</v>
      </c>
      <c r="B12" s="7">
        <f>TEXT(A12,"dddd")</f>
        <v/>
      </c>
      <c r="C12" s="7" t="inlineStr">
        <is>
          <t>FERIADO</t>
        </is>
      </c>
      <c r="D12" s="7" t="inlineStr">
        <is>
          <t>Santa Rosa de Lima</t>
        </is>
      </c>
    </row>
    <row r="13">
      <c r="A13" s="19" t="n">
        <v>46303</v>
      </c>
      <c r="B13" s="7">
        <f>TEXT(A13,"dddd")</f>
        <v/>
      </c>
      <c r="C13" s="7" t="inlineStr">
        <is>
          <t>FERIADO</t>
        </is>
      </c>
      <c r="D13" s="7" t="inlineStr">
        <is>
          <t>Combate de Angamos</t>
        </is>
      </c>
    </row>
    <row r="14">
      <c r="A14" s="19" t="n">
        <v>46327</v>
      </c>
      <c r="B14" s="7">
        <f>TEXT(A14,"dddd")</f>
        <v/>
      </c>
      <c r="C14" s="7" t="inlineStr">
        <is>
          <t>FERIADO</t>
        </is>
      </c>
      <c r="D14" s="7" t="inlineStr">
        <is>
          <t>Todos los Santos</t>
        </is>
      </c>
    </row>
    <row r="15">
      <c r="A15" s="19" t="n">
        <v>46364</v>
      </c>
      <c r="B15" s="7">
        <f>TEXT(A15,"dddd")</f>
        <v/>
      </c>
      <c r="C15" s="7" t="inlineStr">
        <is>
          <t>FERIADO</t>
        </is>
      </c>
      <c r="D15" s="7" t="inlineStr">
        <is>
          <t>Inmaculada Concepcion</t>
        </is>
      </c>
    </row>
    <row r="16">
      <c r="A16" s="19" t="n">
        <v>46365</v>
      </c>
      <c r="B16" s="7">
        <f>TEXT(A16,"dddd")</f>
        <v/>
      </c>
      <c r="C16" s="7" t="inlineStr">
        <is>
          <t>FERIADO</t>
        </is>
      </c>
      <c r="D16" s="7" t="inlineStr">
        <is>
          <t>Batalla de Ayacucho</t>
        </is>
      </c>
    </row>
    <row r="17">
      <c r="A17" s="19" t="n">
        <v>46381</v>
      </c>
      <c r="B17" s="7">
        <f>TEXT(A17,"dddd")</f>
        <v/>
      </c>
      <c r="C17" s="7" t="inlineStr">
        <is>
          <t>FERIADO</t>
        </is>
      </c>
      <c r="D17" s="7" t="inlineStr">
        <is>
          <t>Navidad</t>
        </is>
      </c>
    </row>
    <row r="18">
      <c r="A18" s="24" t="n"/>
      <c r="B18" s="20" t="n"/>
      <c r="C18" s="20" t="n"/>
      <c r="D18" s="20" t="n"/>
    </row>
    <row r="19">
      <c r="A19" s="24" t="n"/>
      <c r="B19" s="20" t="n"/>
      <c r="C19" s="20" t="n"/>
      <c r="D19" s="20" t="n"/>
    </row>
    <row r="20">
      <c r="A20" s="24" t="n"/>
      <c r="B20" s="20" t="n"/>
      <c r="C20" s="20" t="n"/>
      <c r="D20" s="20" t="n"/>
    </row>
    <row r="21">
      <c r="A21" s="24" t="n"/>
      <c r="B21" s="20" t="n"/>
      <c r="C21" s="20" t="n"/>
      <c r="D21" s="20" t="n"/>
    </row>
    <row r="22">
      <c r="A22" s="24" t="n"/>
      <c r="B22" s="20" t="n"/>
      <c r="C22" s="20" t="n"/>
      <c r="D22" s="20" t="n"/>
    </row>
    <row r="23">
      <c r="A23" s="24" t="n"/>
      <c r="B23" s="20" t="n"/>
      <c r="C23" s="20" t="n"/>
      <c r="D23" s="20" t="n"/>
    </row>
    <row r="24">
      <c r="A24" s="24" t="n"/>
      <c r="B24" s="20" t="n"/>
      <c r="C24" s="20" t="n"/>
      <c r="D24" s="20" t="n"/>
    </row>
    <row r="25">
      <c r="A25" s="24" t="n"/>
      <c r="B25" s="20" t="n"/>
      <c r="C25" s="20" t="n"/>
      <c r="D25" s="20" t="n"/>
    </row>
    <row r="26">
      <c r="A26" s="24" t="n"/>
      <c r="B26" s="20" t="n"/>
      <c r="C26" s="20" t="n"/>
      <c r="D26" s="20" t="n"/>
    </row>
    <row r="27">
      <c r="A27" s="24" t="n"/>
      <c r="B27" s="20" t="n"/>
      <c r="C27" s="20" t="n"/>
      <c r="D27" s="20" t="n"/>
    </row>
    <row r="28">
      <c r="A28" s="24" t="n"/>
      <c r="B28" s="20" t="n"/>
      <c r="C28" s="20" t="n"/>
      <c r="D28" s="20" t="n"/>
    </row>
    <row r="29">
      <c r="A29" s="24" t="n"/>
      <c r="B29" s="20" t="n"/>
      <c r="C29" s="20" t="n"/>
      <c r="D29" s="20" t="n"/>
    </row>
    <row r="30">
      <c r="A30" s="24" t="n"/>
      <c r="B30" s="20" t="n"/>
      <c r="C30" s="20" t="n"/>
      <c r="D30" s="20" t="n"/>
    </row>
    <row r="31">
      <c r="A31" s="24" t="n"/>
      <c r="B31" s="20" t="n"/>
      <c r="C31" s="20" t="n"/>
      <c r="D31" s="20" t="n"/>
    </row>
    <row r="32">
      <c r="A32" s="24" t="n"/>
      <c r="B32" s="20" t="n"/>
      <c r="C32" s="20" t="n"/>
      <c r="D32" s="20" t="n"/>
    </row>
    <row r="33">
      <c r="A33" s="24" t="n"/>
      <c r="B33" s="20" t="n"/>
      <c r="C33" s="20" t="n"/>
      <c r="D33" s="20" t="n"/>
    </row>
    <row r="34">
      <c r="A34" s="24" t="n"/>
      <c r="B34" s="20" t="n"/>
      <c r="C34" s="20" t="n"/>
      <c r="D34" s="20" t="n"/>
    </row>
    <row r="35">
      <c r="A35" s="24" t="n"/>
      <c r="B35" s="20" t="n"/>
      <c r="C35" s="20" t="n"/>
      <c r="D35" s="20" t="n"/>
    </row>
    <row r="36">
      <c r="A36" s="24" t="n"/>
      <c r="B36" s="20" t="n"/>
      <c r="C36" s="20" t="n"/>
      <c r="D36" s="20" t="n"/>
    </row>
    <row r="37">
      <c r="A37" s="24" t="n"/>
      <c r="B37" s="20" t="n"/>
      <c r="C37" s="20" t="n"/>
      <c r="D37" s="20" t="n"/>
    </row>
    <row r="38">
      <c r="A38" s="24" t="n"/>
      <c r="B38" s="20" t="n"/>
      <c r="C38" s="20" t="n"/>
      <c r="D38" s="20" t="n"/>
    </row>
    <row r="39">
      <c r="A39" s="24" t="n"/>
      <c r="B39" s="20" t="n"/>
      <c r="C39" s="20" t="n"/>
      <c r="D39" s="20" t="n"/>
    </row>
    <row r="40">
      <c r="A40" s="24" t="n"/>
      <c r="B40" s="20" t="n"/>
      <c r="C40" s="20" t="n"/>
      <c r="D40" s="20" t="n"/>
    </row>
    <row r="41">
      <c r="A41" s="24" t="n"/>
      <c r="B41" s="20" t="n"/>
      <c r="C41" s="20" t="n"/>
      <c r="D41" s="20" t="n"/>
    </row>
    <row r="42">
      <c r="A42" s="24" t="n"/>
      <c r="B42" s="20" t="n"/>
      <c r="C42" s="20" t="n"/>
      <c r="D42" s="20" t="n"/>
    </row>
    <row r="43">
      <c r="A43" s="24" t="n"/>
      <c r="B43" s="20" t="n"/>
      <c r="C43" s="20" t="n"/>
      <c r="D43" s="20" t="n"/>
    </row>
    <row r="44">
      <c r="A44" s="24" t="n"/>
      <c r="B44" s="20" t="n"/>
      <c r="C44" s="20" t="n"/>
      <c r="D44" s="20" t="n"/>
    </row>
    <row r="45">
      <c r="A45" s="24" t="n"/>
      <c r="B45" s="20" t="n"/>
      <c r="C45" s="20" t="n"/>
      <c r="D45" s="20" t="n"/>
    </row>
    <row r="46">
      <c r="A46" s="24" t="n"/>
      <c r="B46" s="20" t="n"/>
      <c r="C46" s="20" t="n"/>
      <c r="D46" s="20" t="n"/>
    </row>
    <row r="47">
      <c r="A47" s="24" t="n"/>
      <c r="B47" s="20" t="n"/>
      <c r="C47" s="20" t="n"/>
      <c r="D47" s="20" t="n"/>
    </row>
    <row r="48">
      <c r="A48" s="24" t="n"/>
      <c r="B48" s="20" t="n"/>
      <c r="C48" s="20" t="n"/>
      <c r="D48" s="20" t="n"/>
    </row>
    <row r="49">
      <c r="A49" s="24" t="n"/>
      <c r="B49" s="20" t="n"/>
      <c r="C49" s="20" t="n"/>
      <c r="D49" s="20" t="n"/>
    </row>
    <row r="50">
      <c r="A50" s="24" t="n"/>
      <c r="B50" s="20" t="n"/>
      <c r="C50" s="20" t="n"/>
      <c r="D50" s="20" t="n"/>
    </row>
    <row r="51">
      <c r="A51" s="24" t="n"/>
      <c r="B51" s="20" t="n"/>
      <c r="C51" s="20" t="n"/>
      <c r="D51" s="20" t="n"/>
    </row>
    <row r="52">
      <c r="A52" s="24" t="n"/>
      <c r="B52" s="20" t="n"/>
      <c r="C52" s="20" t="n"/>
      <c r="D52" s="20" t="n"/>
    </row>
    <row r="53">
      <c r="A53" s="24" t="n"/>
      <c r="B53" s="20" t="n"/>
      <c r="C53" s="20" t="n"/>
      <c r="D53" s="20" t="n"/>
    </row>
    <row r="54">
      <c r="A54" s="24" t="n"/>
      <c r="B54" s="20" t="n"/>
      <c r="C54" s="20" t="n"/>
      <c r="D54" s="20" t="n"/>
    </row>
    <row r="55">
      <c r="A55" s="24" t="n"/>
      <c r="B55" s="20" t="n"/>
      <c r="C55" s="20" t="n"/>
      <c r="D55" s="20" t="n"/>
    </row>
    <row r="56">
      <c r="A56" s="24" t="n"/>
      <c r="B56" s="20" t="n"/>
      <c r="C56" s="20" t="n"/>
      <c r="D56" s="20" t="n"/>
    </row>
    <row r="57">
      <c r="A57" s="24" t="n"/>
      <c r="B57" s="20" t="n"/>
      <c r="C57" s="20" t="n"/>
      <c r="D57" s="20" t="n"/>
    </row>
    <row r="58">
      <c r="A58" s="24" t="n"/>
      <c r="B58" s="20" t="n"/>
      <c r="C58" s="20" t="n"/>
      <c r="D58" s="20" t="n"/>
    </row>
    <row r="59">
      <c r="A59" s="24" t="n"/>
      <c r="B59" s="20" t="n"/>
      <c r="C59" s="20" t="n"/>
      <c r="D59" s="20" t="n"/>
    </row>
    <row r="60">
      <c r="A60" s="24" t="n"/>
      <c r="B60" s="20" t="n"/>
      <c r="C60" s="20" t="n"/>
      <c r="D60" s="20" t="n"/>
    </row>
    <row r="61">
      <c r="A61" s="24" t="n"/>
      <c r="B61" s="20" t="n"/>
      <c r="C61" s="20" t="n"/>
      <c r="D61" s="20" t="n"/>
    </row>
    <row r="62">
      <c r="A62" s="24" t="n"/>
      <c r="B62" s="20" t="n"/>
      <c r="C62" s="20" t="n"/>
      <c r="D62" s="20" t="n"/>
    </row>
    <row r="63">
      <c r="A63" s="24" t="n"/>
      <c r="B63" s="20" t="n"/>
      <c r="C63" s="20" t="n"/>
      <c r="D63" s="20" t="n"/>
    </row>
    <row r="64">
      <c r="A64" s="24" t="n"/>
      <c r="B64" s="20" t="n"/>
      <c r="C64" s="20" t="n"/>
      <c r="D64" s="20" t="n"/>
    </row>
    <row r="65">
      <c r="A65" s="24" t="n"/>
      <c r="B65" s="20" t="n"/>
      <c r="C65" s="20" t="n"/>
      <c r="D65" s="20" t="n"/>
    </row>
    <row r="66">
      <c r="A66" s="24" t="n"/>
      <c r="B66" s="20" t="n"/>
      <c r="C66" s="20" t="n"/>
      <c r="D66" s="20" t="n"/>
    </row>
    <row r="67">
      <c r="A67" s="24" t="n"/>
      <c r="B67" s="20" t="n"/>
      <c r="C67" s="20" t="n"/>
      <c r="D67" s="20" t="n"/>
    </row>
    <row r="68">
      <c r="A68" s="24" t="n"/>
      <c r="B68" s="20" t="n"/>
      <c r="C68" s="20" t="n"/>
      <c r="D68" s="20" t="n"/>
    </row>
    <row r="69">
      <c r="A69" s="24" t="n"/>
      <c r="B69" s="20" t="n"/>
      <c r="C69" s="20" t="n"/>
      <c r="D69" s="20" t="n"/>
    </row>
    <row r="70">
      <c r="A70" s="24" t="n"/>
      <c r="B70" s="20" t="n"/>
      <c r="C70" s="20" t="n"/>
      <c r="D70" s="20" t="n"/>
    </row>
    <row r="71">
      <c r="A71" s="24" t="n"/>
      <c r="B71" s="20" t="n"/>
      <c r="C71" s="20" t="n"/>
      <c r="D71" s="20" t="n"/>
    </row>
    <row r="72">
      <c r="A72" s="24" t="n"/>
      <c r="B72" s="20" t="n"/>
      <c r="C72" s="20" t="n"/>
      <c r="D72" s="20" t="n"/>
    </row>
    <row r="73">
      <c r="A73" s="24" t="n"/>
      <c r="B73" s="20" t="n"/>
      <c r="C73" s="20" t="n"/>
      <c r="D73" s="20" t="n"/>
    </row>
    <row r="74">
      <c r="A74" s="24" t="n"/>
      <c r="B74" s="20" t="n"/>
      <c r="C74" s="20" t="n"/>
      <c r="D74" s="20" t="n"/>
    </row>
    <row r="75">
      <c r="A75" s="24" t="n"/>
      <c r="B75" s="20" t="n"/>
      <c r="C75" s="20" t="n"/>
      <c r="D75" s="20" t="n"/>
    </row>
    <row r="76">
      <c r="A76" s="24" t="n"/>
      <c r="B76" s="20" t="n"/>
      <c r="C76" s="20" t="n"/>
      <c r="D76" s="20" t="n"/>
    </row>
    <row r="77">
      <c r="A77" s="24" t="n"/>
      <c r="B77" s="20" t="n"/>
      <c r="C77" s="20" t="n"/>
      <c r="D77" s="20" t="n"/>
    </row>
  </sheetData>
  <mergeCells count="1">
    <mergeCell ref="A1:D1"/>
  </mergeCells>
  <dataValidations count="1">
    <dataValidation sqref="C3:C77" showDropDown="0" showInputMessage="0" showErrorMessage="0" allowBlank="1" type="list">
      <formula1>"LABORABLE,DESCANSO,FERIADO,EVENTO ESPECIAL"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12" customWidth="1" min="4" max="4"/>
    <col width="10" customWidth="1" min="5" max="5"/>
    <col width="15" customWidth="1" min="6" max="6"/>
    <col width="15" customWidth="1" min="7" max="7"/>
    <col width="34" customWidth="1" min="8" max="8"/>
    <col width="22" customWidth="1" min="10" max="10"/>
    <col width="24" customWidth="1" min="12" max="12"/>
  </cols>
  <sheetData>
    <row r="1">
      <c r="A1" s="10" t="inlineStr">
        <is>
          <t>CATALOGO DE ESTADOS / CODIGOS (editable - sin tocar VBA)</t>
        </is>
      </c>
    </row>
    <row r="2" ht="28" customHeight="1">
      <c r="A2" s="17" t="inlineStr">
        <is>
          <t>CODIGO</t>
        </is>
      </c>
      <c r="B2" s="17" t="inlineStr">
        <is>
          <t>DESCRIPCION</t>
        </is>
      </c>
      <c r="C2" s="17" t="inlineStr">
        <is>
          <t>CUENTA PARA REMUNERACION</t>
        </is>
      </c>
      <c r="D2" s="17" t="inlineStr">
        <is>
          <t>COLOR (hex)</t>
        </is>
      </c>
      <c r="E2" s="17" t="inlineStr">
        <is>
          <t>PRIORIDAD</t>
        </is>
      </c>
      <c r="F2" s="17" t="inlineStr">
        <is>
          <t>¿ES INCIDENCIA?</t>
        </is>
      </c>
      <c r="G2" s="17" t="inlineStr">
        <is>
          <t>¿ES ASISTENCIA?</t>
        </is>
      </c>
      <c r="H2" s="17" t="inlineStr">
        <is>
          <t>NOTA REMUNERACION</t>
        </is>
      </c>
      <c r="J2" s="4" t="inlineStr">
        <is>
          <t>OBSERVACIONES (menu)</t>
        </is>
      </c>
      <c r="L2" s="4" t="inlineStr">
        <is>
          <t>CONDICIONES</t>
        </is>
      </c>
    </row>
    <row r="3">
      <c r="A3" s="25" t="inlineStr">
        <is>
          <t>2</t>
        </is>
      </c>
      <c r="B3" s="7" t="inlineStr">
        <is>
          <t>ASISTIO / PUNTUAL</t>
        </is>
      </c>
      <c r="C3" s="7" t="inlineStr">
        <is>
          <t>PAGA</t>
        </is>
      </c>
      <c r="D3" s="7" t="inlineStr">
        <is>
          <t>C6EFCE</t>
        </is>
      </c>
      <c r="E3" s="7" t="n">
        <v>80</v>
      </c>
      <c r="F3" s="7" t="inlineStr">
        <is>
          <t>NO</t>
        </is>
      </c>
      <c r="G3" s="7" t="inlineStr">
        <is>
          <t>SI</t>
        </is>
      </c>
      <c r="H3" s="7" t="inlineStr">
        <is>
          <t>Dia efectivo</t>
        </is>
      </c>
      <c r="J3" s="20" t="inlineStr">
        <is>
          <t>CLASE</t>
        </is>
      </c>
      <c r="L3" s="20" t="inlineStr">
        <is>
          <t>PUNTUAL</t>
        </is>
      </c>
    </row>
    <row r="4">
      <c r="A4" s="26" t="inlineStr">
        <is>
          <t>T</t>
        </is>
      </c>
      <c r="B4" s="7" t="inlineStr">
        <is>
          <t>TARDANZA</t>
        </is>
      </c>
      <c r="C4" s="7" t="inlineStr">
        <is>
          <t>DESCUENTA</t>
        </is>
      </c>
      <c r="D4" s="7" t="inlineStr">
        <is>
          <t>FFEB9C</t>
        </is>
      </c>
      <c r="E4" s="7" t="n">
        <v>75</v>
      </c>
      <c r="F4" s="7" t="inlineStr">
        <is>
          <t>NO</t>
        </is>
      </c>
      <c r="G4" s="7" t="inlineStr">
        <is>
          <t>SI</t>
        </is>
      </c>
      <c r="H4" s="7" t="inlineStr">
        <is>
          <t>Tarde: 30% R.D. (configurable)</t>
        </is>
      </c>
      <c r="J4" s="20" t="inlineStr">
        <is>
          <t>PERMISO</t>
        </is>
      </c>
      <c r="L4" s="20" t="inlineStr">
        <is>
          <t>TARDANZA</t>
        </is>
      </c>
    </row>
    <row r="5">
      <c r="A5" s="27" t="inlineStr">
        <is>
          <t>F</t>
        </is>
      </c>
      <c r="B5" s="7" t="inlineStr">
        <is>
          <t>FALTA</t>
        </is>
      </c>
      <c r="C5" s="7" t="inlineStr">
        <is>
          <t>DESCUENTA</t>
        </is>
      </c>
      <c r="D5" s="7" t="inlineStr">
        <is>
          <t>FFC7CE</t>
        </is>
      </c>
      <c r="E5" s="7" t="n">
        <v>10</v>
      </c>
      <c r="F5" s="7" t="inlineStr">
        <is>
          <t>NO</t>
        </is>
      </c>
      <c r="G5" s="7" t="inlineStr">
        <is>
          <t>NO</t>
        </is>
      </c>
      <c r="H5" s="7" t="inlineStr">
        <is>
          <t>Falta: 1 R.D.</t>
        </is>
      </c>
      <c r="J5" s="20" t="inlineStr">
        <is>
          <t>NO PUSO HUELLA</t>
        </is>
      </c>
      <c r="L5" s="20" t="inlineStr">
        <is>
          <t>FALTA</t>
        </is>
      </c>
    </row>
    <row r="6">
      <c r="A6" s="28" t="inlineStr">
        <is>
          <t>PE</t>
        </is>
      </c>
      <c r="B6" s="7" t="inlineStr">
        <is>
          <t>PERMISO</t>
        </is>
      </c>
      <c r="C6" s="7" t="inlineStr">
        <is>
          <t>SEGUN POLIT.</t>
        </is>
      </c>
      <c r="D6" s="7" t="inlineStr">
        <is>
          <t>BDD7EE</t>
        </is>
      </c>
      <c r="E6" s="7" t="n">
        <v>50</v>
      </c>
      <c r="F6" s="7" t="inlineStr">
        <is>
          <t>SI</t>
        </is>
      </c>
      <c r="G6" s="7" t="inlineStr">
        <is>
          <t>NO</t>
        </is>
      </c>
      <c r="H6" s="7" t="inlineStr">
        <is>
          <t>Permiso: segun politica</t>
        </is>
      </c>
      <c r="J6" s="20" t="inlineStr">
        <is>
          <t>DESCANSO MEDICO</t>
        </is>
      </c>
      <c r="L6" s="20" t="inlineStr">
        <is>
          <t>PERMISO</t>
        </is>
      </c>
    </row>
    <row r="7">
      <c r="A7" s="29" t="inlineStr">
        <is>
          <t>S</t>
        </is>
      </c>
      <c r="B7" s="7" t="inlineStr">
        <is>
          <t>SUSPENSION</t>
        </is>
      </c>
      <c r="C7" s="7" t="inlineStr">
        <is>
          <t>DESCUENTA</t>
        </is>
      </c>
      <c r="D7" s="7" t="inlineStr">
        <is>
          <t>F8CBAD</t>
        </is>
      </c>
      <c r="E7" s="7" t="n">
        <v>40</v>
      </c>
      <c r="F7" s="7" t="inlineStr">
        <is>
          <t>SI</t>
        </is>
      </c>
      <c r="G7" s="7" t="inlineStr">
        <is>
          <t>NO</t>
        </is>
      </c>
      <c r="H7" s="7" t="inlineStr">
        <is>
          <t>Suspension: 2 R.D.</t>
        </is>
      </c>
      <c r="J7" s="20" t="inlineStr">
        <is>
          <t>COMISION</t>
        </is>
      </c>
      <c r="L7" s="20" t="inlineStr">
        <is>
          <t>CLASE</t>
        </is>
      </c>
    </row>
    <row r="8">
      <c r="A8" s="30" t="inlineStr">
        <is>
          <t>FE</t>
        </is>
      </c>
      <c r="B8" s="7" t="inlineStr">
        <is>
          <t>FERIADO</t>
        </is>
      </c>
      <c r="C8" s="7" t="inlineStr">
        <is>
          <t>PAGA</t>
        </is>
      </c>
      <c r="D8" s="7" t="inlineStr">
        <is>
          <t>FFF2CC</t>
        </is>
      </c>
      <c r="E8" s="7" t="n">
        <v>95</v>
      </c>
      <c r="F8" s="7" t="inlineStr">
        <is>
          <t>NO</t>
        </is>
      </c>
      <c r="G8" s="7" t="inlineStr">
        <is>
          <t>NO</t>
        </is>
      </c>
      <c r="H8" s="7" t="inlineStr">
        <is>
          <t>Feriado: si se paga R.D.</t>
        </is>
      </c>
      <c r="J8" s="20" t="inlineStr">
        <is>
          <t>DESCANSO</t>
        </is>
      </c>
      <c r="L8" s="20" t="inlineStr">
        <is>
          <t>NO PUSO HUELLA</t>
        </is>
      </c>
    </row>
    <row r="9">
      <c r="A9" s="31" t="inlineStr">
        <is>
          <t>V</t>
        </is>
      </c>
      <c r="B9" s="7" t="inlineStr">
        <is>
          <t>VACACIONES</t>
        </is>
      </c>
      <c r="C9" s="7" t="inlineStr">
        <is>
          <t>PAGA</t>
        </is>
      </c>
      <c r="D9" s="7" t="inlineStr">
        <is>
          <t>E2EFDA</t>
        </is>
      </c>
      <c r="E9" s="7" t="n">
        <v>90</v>
      </c>
      <c r="F9" s="7" t="inlineStr">
        <is>
          <t>SI</t>
        </is>
      </c>
      <c r="G9" s="7" t="inlineStr">
        <is>
          <t>NO</t>
        </is>
      </c>
      <c r="H9" s="7" t="inlineStr">
        <is>
          <t>Vacaciones: si se paga R.D.</t>
        </is>
      </c>
      <c r="J9" s="20" t="inlineStr">
        <is>
          <t>FERIADO</t>
        </is>
      </c>
      <c r="L9" s="20" t="inlineStr">
        <is>
          <t>DESCANSO MEDICO</t>
        </is>
      </c>
    </row>
    <row r="10">
      <c r="A10" s="32" t="inlineStr">
        <is>
          <t>C</t>
        </is>
      </c>
      <c r="B10" s="7" t="inlineStr">
        <is>
          <t>COMISION</t>
        </is>
      </c>
      <c r="C10" s="7" t="inlineStr">
        <is>
          <t>PAGA</t>
        </is>
      </c>
      <c r="D10" s="7" t="inlineStr">
        <is>
          <t>DDEBF7</t>
        </is>
      </c>
      <c r="E10" s="7" t="n">
        <v>60</v>
      </c>
      <c r="F10" s="7" t="inlineStr">
        <is>
          <t>SI</t>
        </is>
      </c>
      <c r="G10" s="7" t="inlineStr">
        <is>
          <t>SI</t>
        </is>
      </c>
      <c r="H10" s="7" t="inlineStr">
        <is>
          <t>Comision: si se paga R.D.</t>
        </is>
      </c>
      <c r="J10" s="20" t="inlineStr">
        <is>
          <t>VACACIONES</t>
        </is>
      </c>
      <c r="L10" s="20" t="inlineStr">
        <is>
          <t>COMISION</t>
        </is>
      </c>
    </row>
    <row r="11">
      <c r="A11" s="33" t="inlineStr">
        <is>
          <t>CL</t>
        </is>
      </c>
      <c r="B11" s="7" t="inlineStr">
        <is>
          <t>CLASE</t>
        </is>
      </c>
      <c r="C11" s="7" t="inlineStr">
        <is>
          <t>SEGUN POLIT.</t>
        </is>
      </c>
      <c r="D11" s="7" t="inlineStr">
        <is>
          <t>D9E1F2</t>
        </is>
      </c>
      <c r="E11" s="7" t="n">
        <v>55</v>
      </c>
      <c r="F11" s="7" t="inlineStr">
        <is>
          <t>SI</t>
        </is>
      </c>
      <c r="G11" s="7" t="inlineStr">
        <is>
          <t>NO</t>
        </is>
      </c>
      <c r="H11" s="7" t="inlineStr">
        <is>
          <t>Clase / estudios</t>
        </is>
      </c>
      <c r="J11" s="20" t="inlineStr">
        <is>
          <t>SUSPENSION</t>
        </is>
      </c>
      <c r="L11" s="20" t="inlineStr">
        <is>
          <t>DESCANSO</t>
        </is>
      </c>
    </row>
    <row r="12">
      <c r="A12" s="34" t="inlineStr">
        <is>
          <t>NH</t>
        </is>
      </c>
      <c r="B12" s="7" t="inlineStr">
        <is>
          <t>NO PUSO HUELLA</t>
        </is>
      </c>
      <c r="C12" s="7" t="inlineStr">
        <is>
          <t>REVISAR</t>
        </is>
      </c>
      <c r="D12" s="7" t="inlineStr">
        <is>
          <t>D9D9D9</t>
        </is>
      </c>
      <c r="E12" s="7" t="n">
        <v>30</v>
      </c>
      <c r="F12" s="7" t="inlineStr">
        <is>
          <t>SI</t>
        </is>
      </c>
      <c r="G12" s="7" t="inlineStr">
        <is>
          <t>NO</t>
        </is>
      </c>
      <c r="H12" s="7" t="inlineStr">
        <is>
          <t>No marco - revisar</t>
        </is>
      </c>
      <c r="J12" s="20" t="inlineStr">
        <is>
          <t>JUSTIFICADO</t>
        </is>
      </c>
      <c r="L12" s="20" t="inlineStr">
        <is>
          <t>FERIADO</t>
        </is>
      </c>
    </row>
    <row r="13">
      <c r="A13" s="35" t="inlineStr">
        <is>
          <t>DM</t>
        </is>
      </c>
      <c r="B13" s="7" t="inlineStr">
        <is>
          <t>DESCANSO MEDICO</t>
        </is>
      </c>
      <c r="C13" s="7" t="inlineStr">
        <is>
          <t>SEGUN POLIT.</t>
        </is>
      </c>
      <c r="D13" s="7" t="inlineStr">
        <is>
          <t>FCE4D6</t>
        </is>
      </c>
      <c r="E13" s="7" t="n">
        <v>65</v>
      </c>
      <c r="F13" s="7" t="inlineStr">
        <is>
          <t>SI</t>
        </is>
      </c>
      <c r="G13" s="7" t="inlineStr">
        <is>
          <t>NO</t>
        </is>
      </c>
      <c r="H13" s="7" t="inlineStr">
        <is>
          <t>Descanso medico</t>
        </is>
      </c>
      <c r="J13" s="20" t="inlineStr">
        <is>
          <t>OTRO</t>
        </is>
      </c>
      <c r="L13" s="20" t="inlineStr">
        <is>
          <t>JUSTIFICADO</t>
        </is>
      </c>
    </row>
    <row r="14">
      <c r="A14" s="36" t="inlineStr">
        <is>
          <t>NF</t>
        </is>
      </c>
      <c r="B14" s="7" t="inlineStr">
        <is>
          <t>NO FIRMO</t>
        </is>
      </c>
      <c r="C14" s="7" t="inlineStr">
        <is>
          <t>DESCUENTA</t>
        </is>
      </c>
      <c r="D14" s="7" t="inlineStr">
        <is>
          <t>F2F2F2</t>
        </is>
      </c>
      <c r="E14" s="7" t="n">
        <v>20</v>
      </c>
      <c r="F14" s="7" t="inlineStr">
        <is>
          <t>SI</t>
        </is>
      </c>
      <c r="G14" s="7" t="inlineStr">
        <is>
          <t>NO</t>
        </is>
      </c>
      <c r="H14" s="7" t="inlineStr">
        <is>
          <t>Sin firma: 5% R.D.</t>
        </is>
      </c>
      <c r="L14" s="20" t="inlineStr">
        <is>
          <t>VACACIONES</t>
        </is>
      </c>
    </row>
    <row r="15">
      <c r="A15" s="37" t="inlineStr">
        <is>
          <t>D</t>
        </is>
      </c>
      <c r="B15" s="7" t="inlineStr">
        <is>
          <t>DESCANSO</t>
        </is>
      </c>
      <c r="C15" s="7" t="inlineStr">
        <is>
          <t>NO APLICA</t>
        </is>
      </c>
      <c r="D15" s="7" t="inlineStr">
        <is>
          <t>BFBFBF</t>
        </is>
      </c>
      <c r="E15" s="7" t="n">
        <v>97</v>
      </c>
      <c r="F15" s="7" t="inlineStr">
        <is>
          <t>NO</t>
        </is>
      </c>
      <c r="G15" s="7" t="inlineStr">
        <is>
          <t>NO</t>
        </is>
      </c>
      <c r="H15" s="7" t="inlineStr">
        <is>
          <t>Dia de descanso</t>
        </is>
      </c>
      <c r="L15" s="20" t="inlineStr">
        <is>
          <t>SUSPENSION</t>
        </is>
      </c>
    </row>
    <row r="16">
      <c r="A16" s="28" t="inlineStr">
        <is>
          <t>J</t>
        </is>
      </c>
      <c r="B16" s="7" t="inlineStr">
        <is>
          <t>JUSTIFICADO</t>
        </is>
      </c>
      <c r="C16" s="7" t="inlineStr">
        <is>
          <t>SEGUN POLIT.</t>
        </is>
      </c>
      <c r="D16" s="7" t="inlineStr">
        <is>
          <t>BDD7EE</t>
        </is>
      </c>
      <c r="E16" s="7" t="n">
        <v>45</v>
      </c>
      <c r="F16" s="7" t="inlineStr">
        <is>
          <t>SI</t>
        </is>
      </c>
      <c r="G16" s="7" t="inlineStr">
        <is>
          <t>NO</t>
        </is>
      </c>
      <c r="H16" s="7" t="inlineStr">
        <is>
          <t>Justificado con documento</t>
        </is>
      </c>
      <c r="L16" s="20" t="inlineStr">
        <is>
          <t>INCOMPLETO</t>
        </is>
      </c>
    </row>
    <row r="17">
      <c r="A17" s="30" t="inlineStr">
        <is>
          <t>INC</t>
        </is>
      </c>
      <c r="B17" s="7" t="inlineStr">
        <is>
          <t>INCOMPLETO</t>
        </is>
      </c>
      <c r="C17" s="7" t="inlineStr">
        <is>
          <t>REVISAR</t>
        </is>
      </c>
      <c r="D17" s="7" t="inlineStr">
        <is>
          <t>FFF2CC</t>
        </is>
      </c>
      <c r="E17" s="7" t="n">
        <v>25</v>
      </c>
      <c r="F17" s="7" t="inlineStr">
        <is>
          <t>NO</t>
        </is>
      </c>
      <c r="G17" s="7" t="inlineStr">
        <is>
          <t>NO</t>
        </is>
      </c>
      <c r="H17" s="7" t="inlineStr">
        <is>
          <t>Marcacion incompleta</t>
        </is>
      </c>
      <c r="L17" s="20" t="inlineStr">
        <is>
          <t>PENDIENTE DE REVISION</t>
        </is>
      </c>
    </row>
    <row r="18">
      <c r="A18" s="34" t="inlineStr">
        <is>
          <t>PR</t>
        </is>
      </c>
      <c r="B18" s="7" t="inlineStr">
        <is>
          <t>PENDIENTE DE REVISION</t>
        </is>
      </c>
      <c r="C18" s="7" t="inlineStr">
        <is>
          <t>REVISAR</t>
        </is>
      </c>
      <c r="D18" s="7" t="inlineStr">
        <is>
          <t>D9D9D9</t>
        </is>
      </c>
      <c r="E18" s="7" t="n">
        <v>15</v>
      </c>
      <c r="F18" s="7" t="inlineStr">
        <is>
          <t>NO</t>
        </is>
      </c>
      <c r="G18" s="7" t="inlineStr">
        <is>
          <t>NO</t>
        </is>
      </c>
      <c r="H18" s="7" t="inlineStr">
        <is>
          <t>Requiere decision del responsable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2" customWidth="1" min="9" max="9"/>
    <col width="16" customWidth="1" min="10" max="10"/>
    <col width="18" customWidth="1" min="11" max="11"/>
    <col width="26" customWidth="1" min="12" max="12"/>
    <col width="28" customWidth="1" min="13" max="13"/>
  </cols>
  <sheetData>
    <row r="1">
      <c r="A1" s="17" t="inlineStr">
        <is>
          <t>ID HUELLERO</t>
        </is>
      </c>
      <c r="B1" s="17" t="inlineStr">
        <is>
          <t>NOMBRE ORIGINAL</t>
        </is>
      </c>
      <c r="C1" s="17" t="inlineStr">
        <is>
          <t>FECHA Y HORA</t>
        </is>
      </c>
      <c r="D1" s="17" t="inlineStr">
        <is>
          <t>ESTADO</t>
        </is>
      </c>
      <c r="E1" s="17" t="inlineStr">
        <is>
          <t>DISPOSITIVO</t>
        </is>
      </c>
      <c r="F1" s="17" t="inlineStr">
        <is>
          <t>TIPO REGISTRO</t>
        </is>
      </c>
      <c r="G1" s="17" t="inlineStr">
        <is>
          <t>FECHA</t>
        </is>
      </c>
      <c r="H1" s="17" t="inlineStr">
        <is>
          <t>HORA</t>
        </is>
      </c>
      <c r="I1" s="17" t="inlineStr">
        <is>
          <t>CLAVE UNICA</t>
        </is>
      </c>
      <c r="J1" s="17" t="inlineStr">
        <is>
          <t>LOTE IMPORTACION</t>
        </is>
      </c>
      <c r="K1" s="17" t="inlineStr">
        <is>
          <t>FECHA IMPORTACION</t>
        </is>
      </c>
      <c r="L1" s="17" t="inlineStr">
        <is>
          <t>USUARIO IMPORTO</t>
        </is>
      </c>
      <c r="M1" s="17" t="inlineStr">
        <is>
          <t>OBSERVACION TECNICA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18" customWidth="1" min="11" max="11"/>
    <col width="18" customWidth="1" min="12" max="12"/>
    <col width="10" customWidth="1" min="13" max="13"/>
    <col width="26" customWidth="1" min="14" max="14"/>
    <col width="12" customWidth="1" min="15" max="15"/>
    <col width="8" customWidth="1" min="16" max="16"/>
    <col width="24" customWidth="1" min="17" max="17"/>
    <col width="18" customWidth="1" min="18" max="18"/>
    <col width="36" customWidth="1" min="19" max="19"/>
  </cols>
  <sheetData>
    <row r="1">
      <c r="A1" s="17" t="inlineStr">
        <is>
          <t>FECHA</t>
        </is>
      </c>
      <c r="B1" s="17" t="inlineStr">
        <is>
          <t>ID PERSONAL</t>
        </is>
      </c>
      <c r="C1" s="17" t="inlineStr">
        <is>
          <t>DNI</t>
        </is>
      </c>
      <c r="D1" s="17" t="inlineStr">
        <is>
          <t>APELLIDOS Y NOMBRES</t>
        </is>
      </c>
      <c r="E1" s="17" t="inlineStr">
        <is>
          <t>ENT MAÑANA</t>
        </is>
      </c>
      <c r="F1" s="17" t="inlineStr">
        <is>
          <t>SAL ALMUERZO</t>
        </is>
      </c>
      <c r="G1" s="17" t="inlineStr">
        <is>
          <t>ENT TARDE</t>
        </is>
      </c>
      <c r="H1" s="17" t="inlineStr">
        <is>
          <t>SAL FINAL</t>
        </is>
      </c>
      <c r="I1" s="17" t="inlineStr">
        <is>
          <t>MIN TARDANZA M</t>
        </is>
      </c>
      <c r="J1" s="17" t="inlineStr">
        <is>
          <t>MIN TARDANZA T</t>
        </is>
      </c>
      <c r="K1" s="17" t="inlineStr">
        <is>
          <t>CONDICION AUTO</t>
        </is>
      </c>
      <c r="L1" s="17" t="inlineStr">
        <is>
          <t>CONDICION FINAL</t>
        </is>
      </c>
      <c r="M1" s="17" t="inlineStr">
        <is>
          <t>CODIGO CUADRO</t>
        </is>
      </c>
      <c r="N1" s="17" t="inlineStr">
        <is>
          <t>OBSERVACION</t>
        </is>
      </c>
      <c r="O1" s="17" t="inlineStr">
        <is>
          <t>ORIGEN</t>
        </is>
      </c>
      <c r="P1" s="17" t="inlineStr">
        <is>
          <t>MANUAL?</t>
        </is>
      </c>
      <c r="Q1" s="17" t="inlineStr">
        <is>
          <t>USUARIO</t>
        </is>
      </c>
      <c r="R1" s="17" t="inlineStr">
        <is>
          <t>FECHA/HORA PROC</t>
        </is>
      </c>
      <c r="S1" s="17" t="inlineStr">
        <is>
          <t>CLAVE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I7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40" customWidth="1" min="3" max="3"/>
    <col width="13" customWidth="1" min="4" max="4"/>
    <col width="13" customWidth="1" min="5" max="5"/>
    <col width="12" customWidth="1" min="6" max="6"/>
    <col width="16" customWidth="1" min="7" max="7"/>
    <col width="18" customWidth="1" min="8" max="8"/>
    <col width="28" customWidth="1" min="9" max="9"/>
  </cols>
  <sheetData>
    <row r="2">
      <c r="B2" s="38">
        <f>cfg_Empresa</f>
        <v/>
      </c>
    </row>
    <row r="3">
      <c r="B3" s="39">
        <f>"RUC: "&amp;cfg_RUC</f>
        <v/>
      </c>
    </row>
    <row r="4">
      <c r="B4" s="40">
        <f>cfg_Direccion&amp;"  -  Cel. "&amp;cfg_Celulares</f>
        <v/>
      </c>
    </row>
    <row r="5">
      <c r="B5" s="40">
        <f>"Correo: "&amp;cfg_Correo</f>
        <v/>
      </c>
    </row>
    <row r="7" ht="24" customHeight="1">
      <c r="B7" s="41" t="inlineStr">
        <is>
          <t>REPORTE DE ASISTENCIA</t>
        </is>
      </c>
    </row>
    <row r="9">
      <c r="B9" s="42" t="inlineStr">
        <is>
          <t>FECHA DEL REPORTE:</t>
        </is>
      </c>
      <c r="C9" s="43">
        <f>TEXT(cfg_FechaTrabajo,"DD/MM/YYYY")</f>
        <v/>
      </c>
      <c r="E9" s="42" t="inlineStr">
        <is>
          <t>AREA / SEDE:</t>
        </is>
      </c>
      <c r="F9" s="43">
        <f>cfg_AreaSede</f>
        <v/>
      </c>
    </row>
    <row r="10">
      <c r="B10" s="42" t="inlineStr">
        <is>
          <t>HORA DE INGRESO:</t>
        </is>
      </c>
      <c r="C10" s="43">
        <f>TEXT(cfg_EntLun,"HH:MM")&amp;"  (TOL: "&amp;cfg_TolMin&amp;" MIN)"</f>
        <v/>
      </c>
      <c r="E10" s="42" t="inlineStr">
        <is>
          <t>RESPONSABLE:</t>
        </is>
      </c>
      <c r="F10" s="43">
        <f>cfg_Responsable</f>
        <v/>
      </c>
    </row>
    <row r="12" ht="30" customHeight="1">
      <c r="B12" s="17" t="inlineStr">
        <is>
          <t>N°</t>
        </is>
      </c>
      <c r="C12" s="17" t="inlineStr">
        <is>
          <t>APELLIDOS Y NOMBRES</t>
        </is>
      </c>
      <c r="D12" s="17" t="inlineStr">
        <is>
          <t>HORA
ENTRADA</t>
        </is>
      </c>
      <c r="E12" s="17" t="inlineStr">
        <is>
          <t>HORA
SALIDA</t>
        </is>
      </c>
      <c r="F12" s="17" t="inlineStr">
        <is>
          <t>MINUTOS
TARDANZA</t>
        </is>
      </c>
      <c r="G12" s="17" t="inlineStr">
        <is>
          <t>CONDICION</t>
        </is>
      </c>
      <c r="H12" s="17" t="inlineStr">
        <is>
          <t>FIRMA</t>
        </is>
      </c>
      <c r="I12" s="17" t="inlineStr">
        <is>
          <t>OBSERVACIONES</t>
        </is>
      </c>
    </row>
    <row r="13">
      <c r="B13" s="44" t="n"/>
      <c r="C13" s="7" t="n"/>
      <c r="D13" s="44" t="n"/>
      <c r="E13" s="45" t="n"/>
      <c r="F13" s="45" t="n"/>
      <c r="G13" s="44" t="n"/>
      <c r="H13" s="7" t="n"/>
      <c r="I13" s="7" t="n"/>
    </row>
    <row r="14">
      <c r="B14" s="44" t="n"/>
      <c r="C14" s="7" t="n"/>
      <c r="D14" s="44" t="n"/>
      <c r="E14" s="45" t="n"/>
      <c r="F14" s="45" t="n"/>
      <c r="G14" s="44" t="n"/>
      <c r="H14" s="7" t="n"/>
      <c r="I14" s="7" t="n"/>
    </row>
    <row r="15">
      <c r="B15" s="44" t="n"/>
      <c r="C15" s="7" t="n"/>
      <c r="D15" s="44" t="n"/>
      <c r="E15" s="45" t="n"/>
      <c r="F15" s="45" t="n"/>
      <c r="G15" s="44" t="n"/>
      <c r="H15" s="7" t="n"/>
      <c r="I15" s="7" t="n"/>
    </row>
    <row r="16">
      <c r="B16" s="44" t="n"/>
      <c r="C16" s="7" t="n"/>
      <c r="D16" s="44" t="n"/>
      <c r="E16" s="45" t="n"/>
      <c r="F16" s="45" t="n"/>
      <c r="G16" s="44" t="n"/>
      <c r="H16" s="7" t="n"/>
      <c r="I16" s="7" t="n"/>
    </row>
    <row r="17">
      <c r="B17" s="44" t="n"/>
      <c r="C17" s="7" t="n"/>
      <c r="D17" s="44" t="n"/>
      <c r="E17" s="45" t="n"/>
      <c r="F17" s="45" t="n"/>
      <c r="G17" s="44" t="n"/>
      <c r="H17" s="7" t="n"/>
      <c r="I17" s="7" t="n"/>
    </row>
    <row r="18">
      <c r="B18" s="44" t="n"/>
      <c r="C18" s="7" t="n"/>
      <c r="D18" s="44" t="n"/>
      <c r="E18" s="45" t="n"/>
      <c r="F18" s="45" t="n"/>
      <c r="G18" s="44" t="n"/>
      <c r="H18" s="7" t="n"/>
      <c r="I18" s="7" t="n"/>
    </row>
    <row r="19">
      <c r="B19" s="44" t="n"/>
      <c r="C19" s="7" t="n"/>
      <c r="D19" s="44" t="n"/>
      <c r="E19" s="45" t="n"/>
      <c r="F19" s="45" t="n"/>
      <c r="G19" s="44" t="n"/>
      <c r="H19" s="7" t="n"/>
      <c r="I19" s="7" t="n"/>
    </row>
    <row r="20">
      <c r="B20" s="44" t="n"/>
      <c r="C20" s="7" t="n"/>
      <c r="D20" s="44" t="n"/>
      <c r="E20" s="45" t="n"/>
      <c r="F20" s="45" t="n"/>
      <c r="G20" s="44" t="n"/>
      <c r="H20" s="7" t="n"/>
      <c r="I20" s="7" t="n"/>
    </row>
    <row r="21">
      <c r="B21" s="44" t="n"/>
      <c r="C21" s="7" t="n"/>
      <c r="D21" s="44" t="n"/>
      <c r="E21" s="45" t="n"/>
      <c r="F21" s="45" t="n"/>
      <c r="G21" s="44" t="n"/>
      <c r="H21" s="7" t="n"/>
      <c r="I21" s="7" t="n"/>
    </row>
    <row r="22">
      <c r="B22" s="44" t="n"/>
      <c r="C22" s="7" t="n"/>
      <c r="D22" s="44" t="n"/>
      <c r="E22" s="45" t="n"/>
      <c r="F22" s="45" t="n"/>
      <c r="G22" s="44" t="n"/>
      <c r="H22" s="7" t="n"/>
      <c r="I22" s="7" t="n"/>
    </row>
    <row r="23">
      <c r="B23" s="44" t="n"/>
      <c r="C23" s="7" t="n"/>
      <c r="D23" s="44" t="n"/>
      <c r="E23" s="45" t="n"/>
      <c r="F23" s="45" t="n"/>
      <c r="G23" s="44" t="n"/>
      <c r="H23" s="7" t="n"/>
      <c r="I23" s="7" t="n"/>
    </row>
    <row r="24">
      <c r="B24" s="44" t="n"/>
      <c r="C24" s="7" t="n"/>
      <c r="D24" s="44" t="n"/>
      <c r="E24" s="45" t="n"/>
      <c r="F24" s="45" t="n"/>
      <c r="G24" s="44" t="n"/>
      <c r="H24" s="7" t="n"/>
      <c r="I24" s="7" t="n"/>
    </row>
    <row r="25">
      <c r="B25" s="44" t="n"/>
      <c r="C25" s="7" t="n"/>
      <c r="D25" s="44" t="n"/>
      <c r="E25" s="45" t="n"/>
      <c r="F25" s="45" t="n"/>
      <c r="G25" s="44" t="n"/>
      <c r="H25" s="7" t="n"/>
      <c r="I25" s="7" t="n"/>
    </row>
    <row r="26">
      <c r="B26" s="44" t="n"/>
      <c r="C26" s="7" t="n"/>
      <c r="D26" s="44" t="n"/>
      <c r="E26" s="45" t="n"/>
      <c r="F26" s="45" t="n"/>
      <c r="G26" s="44" t="n"/>
      <c r="H26" s="7" t="n"/>
      <c r="I26" s="7" t="n"/>
    </row>
    <row r="27">
      <c r="B27" s="44" t="n"/>
      <c r="C27" s="7" t="n"/>
      <c r="D27" s="44" t="n"/>
      <c r="E27" s="45" t="n"/>
      <c r="F27" s="45" t="n"/>
      <c r="G27" s="44" t="n"/>
      <c r="H27" s="7" t="n"/>
      <c r="I27" s="7" t="n"/>
    </row>
    <row r="28">
      <c r="B28" s="44" t="n"/>
      <c r="C28" s="7" t="n"/>
      <c r="D28" s="44" t="n"/>
      <c r="E28" s="45" t="n"/>
      <c r="F28" s="45" t="n"/>
      <c r="G28" s="44" t="n"/>
      <c r="H28" s="7" t="n"/>
      <c r="I28" s="7" t="n"/>
    </row>
    <row r="29">
      <c r="B29" s="44" t="n"/>
      <c r="C29" s="7" t="n"/>
      <c r="D29" s="44" t="n"/>
      <c r="E29" s="45" t="n"/>
      <c r="F29" s="45" t="n"/>
      <c r="G29" s="44" t="n"/>
      <c r="H29" s="7" t="n"/>
      <c r="I29" s="7" t="n"/>
    </row>
    <row r="30">
      <c r="B30" s="44" t="n"/>
      <c r="C30" s="7" t="n"/>
      <c r="D30" s="44" t="n"/>
      <c r="E30" s="45" t="n"/>
      <c r="F30" s="45" t="n"/>
      <c r="G30" s="44" t="n"/>
      <c r="H30" s="7" t="n"/>
      <c r="I30" s="7" t="n"/>
    </row>
    <row r="31">
      <c r="B31" s="44" t="n"/>
      <c r="C31" s="7" t="n"/>
      <c r="D31" s="44" t="n"/>
      <c r="E31" s="45" t="n"/>
      <c r="F31" s="45" t="n"/>
      <c r="G31" s="44" t="n"/>
      <c r="H31" s="7" t="n"/>
      <c r="I31" s="7" t="n"/>
    </row>
    <row r="32">
      <c r="B32" s="44" t="n"/>
      <c r="C32" s="7" t="n"/>
      <c r="D32" s="44" t="n"/>
      <c r="E32" s="45" t="n"/>
      <c r="F32" s="45" t="n"/>
      <c r="G32" s="44" t="n"/>
      <c r="H32" s="7" t="n"/>
      <c r="I32" s="7" t="n"/>
    </row>
    <row r="33">
      <c r="B33" s="44" t="n"/>
      <c r="C33" s="7" t="n"/>
      <c r="D33" s="44" t="n"/>
      <c r="E33" s="45" t="n"/>
      <c r="F33" s="45" t="n"/>
      <c r="G33" s="44" t="n"/>
      <c r="H33" s="7" t="n"/>
      <c r="I33" s="7" t="n"/>
    </row>
    <row r="34">
      <c r="B34" s="44" t="n"/>
      <c r="C34" s="7" t="n"/>
      <c r="D34" s="44" t="n"/>
      <c r="E34" s="45" t="n"/>
      <c r="F34" s="45" t="n"/>
      <c r="G34" s="44" t="n"/>
      <c r="H34" s="7" t="n"/>
      <c r="I34" s="7" t="n"/>
    </row>
    <row r="35">
      <c r="B35" s="44" t="n"/>
      <c r="C35" s="7" t="n"/>
      <c r="D35" s="44" t="n"/>
      <c r="E35" s="45" t="n"/>
      <c r="F35" s="45" t="n"/>
      <c r="G35" s="44" t="n"/>
      <c r="H35" s="7" t="n"/>
      <c r="I35" s="7" t="n"/>
    </row>
    <row r="36">
      <c r="B36" s="44" t="n"/>
      <c r="C36" s="7" t="n"/>
      <c r="D36" s="44" t="n"/>
      <c r="E36" s="45" t="n"/>
      <c r="F36" s="45" t="n"/>
      <c r="G36" s="44" t="n"/>
      <c r="H36" s="7" t="n"/>
      <c r="I36" s="7" t="n"/>
    </row>
    <row r="37">
      <c r="B37" s="44" t="n"/>
      <c r="C37" s="7" t="n"/>
      <c r="D37" s="44" t="n"/>
      <c r="E37" s="45" t="n"/>
      <c r="F37" s="45" t="n"/>
      <c r="G37" s="44" t="n"/>
      <c r="H37" s="7" t="n"/>
      <c r="I37" s="7" t="n"/>
    </row>
    <row r="38">
      <c r="B38" s="44" t="n"/>
      <c r="C38" s="7" t="n"/>
      <c r="D38" s="44" t="n"/>
      <c r="E38" s="45" t="n"/>
      <c r="F38" s="45" t="n"/>
      <c r="G38" s="44" t="n"/>
      <c r="H38" s="7" t="n"/>
      <c r="I38" s="7" t="n"/>
    </row>
    <row r="39">
      <c r="B39" s="44" t="n"/>
      <c r="C39" s="7" t="n"/>
      <c r="D39" s="44" t="n"/>
      <c r="E39" s="45" t="n"/>
      <c r="F39" s="45" t="n"/>
      <c r="G39" s="44" t="n"/>
      <c r="H39" s="7" t="n"/>
      <c r="I39" s="7" t="n"/>
    </row>
    <row r="40">
      <c r="B40" s="44" t="n"/>
      <c r="C40" s="7" t="n"/>
      <c r="D40" s="44" t="n"/>
      <c r="E40" s="45" t="n"/>
      <c r="F40" s="45" t="n"/>
      <c r="G40" s="44" t="n"/>
      <c r="H40" s="7" t="n"/>
      <c r="I40" s="7" t="n"/>
    </row>
    <row r="41">
      <c r="B41" s="44" t="n"/>
      <c r="C41" s="7" t="n"/>
      <c r="D41" s="44" t="n"/>
      <c r="E41" s="45" t="n"/>
      <c r="F41" s="45" t="n"/>
      <c r="G41" s="44" t="n"/>
      <c r="H41" s="7" t="n"/>
      <c r="I41" s="7" t="n"/>
    </row>
    <row r="42">
      <c r="B42" s="44" t="n"/>
      <c r="C42" s="7" t="n"/>
      <c r="D42" s="44" t="n"/>
      <c r="E42" s="45" t="n"/>
      <c r="F42" s="45" t="n"/>
      <c r="G42" s="44" t="n"/>
      <c r="H42" s="7" t="n"/>
      <c r="I42" s="7" t="n"/>
    </row>
    <row r="43">
      <c r="B43" s="44" t="n"/>
      <c r="C43" s="7" t="n"/>
      <c r="D43" s="44" t="n"/>
      <c r="E43" s="45" t="n"/>
      <c r="F43" s="45" t="n"/>
      <c r="G43" s="44" t="n"/>
      <c r="H43" s="7" t="n"/>
      <c r="I43" s="7" t="n"/>
    </row>
    <row r="44">
      <c r="B44" s="44" t="n"/>
      <c r="C44" s="7" t="n"/>
      <c r="D44" s="44" t="n"/>
      <c r="E44" s="45" t="n"/>
      <c r="F44" s="45" t="n"/>
      <c r="G44" s="44" t="n"/>
      <c r="H44" s="7" t="n"/>
      <c r="I44" s="7" t="n"/>
    </row>
    <row r="45">
      <c r="B45" s="44" t="n"/>
      <c r="C45" s="7" t="n"/>
      <c r="D45" s="44" t="n"/>
      <c r="E45" s="45" t="n"/>
      <c r="F45" s="45" t="n"/>
      <c r="G45" s="44" t="n"/>
      <c r="H45" s="7" t="n"/>
      <c r="I45" s="7" t="n"/>
    </row>
    <row r="46">
      <c r="B46" s="44" t="n"/>
      <c r="C46" s="7" t="n"/>
      <c r="D46" s="44" t="n"/>
      <c r="E46" s="45" t="n"/>
      <c r="F46" s="45" t="n"/>
      <c r="G46" s="44" t="n"/>
      <c r="H46" s="7" t="n"/>
      <c r="I46" s="7" t="n"/>
    </row>
    <row r="47">
      <c r="B47" s="44" t="n"/>
      <c r="C47" s="7" t="n"/>
      <c r="D47" s="44" t="n"/>
      <c r="E47" s="45" t="n"/>
      <c r="F47" s="45" t="n"/>
      <c r="G47" s="44" t="n"/>
      <c r="H47" s="7" t="n"/>
      <c r="I47" s="7" t="n"/>
    </row>
    <row r="48">
      <c r="B48" s="44" t="n"/>
      <c r="C48" s="7" t="n"/>
      <c r="D48" s="44" t="n"/>
      <c r="E48" s="45" t="n"/>
      <c r="F48" s="45" t="n"/>
      <c r="G48" s="44" t="n"/>
      <c r="H48" s="7" t="n"/>
      <c r="I48" s="7" t="n"/>
    </row>
    <row r="49">
      <c r="B49" s="44" t="n"/>
      <c r="C49" s="7" t="n"/>
      <c r="D49" s="44" t="n"/>
      <c r="E49" s="45" t="n"/>
      <c r="F49" s="45" t="n"/>
      <c r="G49" s="44" t="n"/>
      <c r="H49" s="7" t="n"/>
      <c r="I49" s="7" t="n"/>
    </row>
    <row r="50">
      <c r="B50" s="44" t="n"/>
      <c r="C50" s="7" t="n"/>
      <c r="D50" s="44" t="n"/>
      <c r="E50" s="45" t="n"/>
      <c r="F50" s="45" t="n"/>
      <c r="G50" s="44" t="n"/>
      <c r="H50" s="7" t="n"/>
      <c r="I50" s="7" t="n"/>
    </row>
    <row r="51">
      <c r="B51" s="44" t="n"/>
      <c r="C51" s="7" t="n"/>
      <c r="D51" s="44" t="n"/>
      <c r="E51" s="45" t="n"/>
      <c r="F51" s="45" t="n"/>
      <c r="G51" s="44" t="n"/>
      <c r="H51" s="7" t="n"/>
      <c r="I51" s="7" t="n"/>
    </row>
    <row r="52">
      <c r="B52" s="44" t="n"/>
      <c r="C52" s="7" t="n"/>
      <c r="D52" s="44" t="n"/>
      <c r="E52" s="45" t="n"/>
      <c r="F52" s="45" t="n"/>
      <c r="G52" s="44" t="n"/>
      <c r="H52" s="7" t="n"/>
      <c r="I52" s="7" t="n"/>
    </row>
    <row r="53">
      <c r="B53" s="44" t="n"/>
      <c r="C53" s="7" t="n"/>
      <c r="D53" s="44" t="n"/>
      <c r="E53" s="45" t="n"/>
      <c r="F53" s="45" t="n"/>
      <c r="G53" s="44" t="n"/>
      <c r="H53" s="7" t="n"/>
      <c r="I53" s="7" t="n"/>
    </row>
    <row r="54">
      <c r="B54" s="44" t="n"/>
      <c r="C54" s="7" t="n"/>
      <c r="D54" s="44" t="n"/>
      <c r="E54" s="45" t="n"/>
      <c r="F54" s="45" t="n"/>
      <c r="G54" s="44" t="n"/>
      <c r="H54" s="7" t="n"/>
      <c r="I54" s="7" t="n"/>
    </row>
    <row r="55">
      <c r="B55" s="44" t="n"/>
      <c r="C55" s="7" t="n"/>
      <c r="D55" s="44" t="n"/>
      <c r="E55" s="45" t="n"/>
      <c r="F55" s="45" t="n"/>
      <c r="G55" s="44" t="n"/>
      <c r="H55" s="7" t="n"/>
      <c r="I55" s="7" t="n"/>
    </row>
    <row r="56">
      <c r="B56" s="44" t="n"/>
      <c r="C56" s="7" t="n"/>
      <c r="D56" s="44" t="n"/>
      <c r="E56" s="45" t="n"/>
      <c r="F56" s="45" t="n"/>
      <c r="G56" s="44" t="n"/>
      <c r="H56" s="7" t="n"/>
      <c r="I56" s="7" t="n"/>
    </row>
    <row r="57">
      <c r="B57" s="44" t="n"/>
      <c r="C57" s="7" t="n"/>
      <c r="D57" s="44" t="n"/>
      <c r="E57" s="45" t="n"/>
      <c r="F57" s="45" t="n"/>
      <c r="G57" s="44" t="n"/>
      <c r="H57" s="7" t="n"/>
      <c r="I57" s="7" t="n"/>
    </row>
    <row r="59">
      <c r="B59" s="5" t="inlineStr">
        <is>
          <t>RESUMEN DEL DIA</t>
        </is>
      </c>
      <c r="E59" s="5" t="inlineStr">
        <is>
          <t>OBSERVACIONES GENERALES</t>
        </is>
      </c>
    </row>
    <row r="60">
      <c r="B60" s="12" t="inlineStr">
        <is>
          <t>TOTAL PERSONAL:</t>
        </is>
      </c>
      <c r="C60" s="9" t="n"/>
      <c r="E60" s="46" t="inlineStr">
        <is>
          <t> </t>
        </is>
      </c>
      <c r="F60" s="9" t="n"/>
      <c r="G60" s="9" t="n"/>
      <c r="H60" s="9" t="n"/>
      <c r="I60" s="9" t="n"/>
    </row>
    <row r="61">
      <c r="B61" s="12" t="inlineStr">
        <is>
          <t>PUNTUALES:</t>
        </is>
      </c>
      <c r="C61" s="9" t="n"/>
      <c r="E61" s="9" t="n"/>
      <c r="F61" s="9" t="n"/>
      <c r="G61" s="9" t="n"/>
      <c r="H61" s="9" t="n"/>
      <c r="I61" s="9" t="n"/>
    </row>
    <row r="62">
      <c r="B62" s="12" t="inlineStr">
        <is>
          <t>TARDANZAS:</t>
        </is>
      </c>
      <c r="C62" s="9" t="n"/>
      <c r="E62" s="9" t="n"/>
      <c r="F62" s="9" t="n"/>
      <c r="G62" s="9" t="n"/>
      <c r="H62" s="9" t="n"/>
      <c r="I62" s="9" t="n"/>
    </row>
    <row r="63">
      <c r="B63" s="12" t="inlineStr">
        <is>
          <t>FALTAS:</t>
        </is>
      </c>
      <c r="C63" s="9" t="n"/>
      <c r="E63" s="9" t="n"/>
      <c r="F63" s="9" t="n"/>
      <c r="G63" s="9" t="n"/>
      <c r="H63" s="9" t="n"/>
      <c r="I63" s="9" t="n"/>
    </row>
    <row r="64">
      <c r="B64" s="12" t="inlineStr">
        <is>
          <t>PERMISOS:</t>
        </is>
      </c>
      <c r="C64" s="9" t="n"/>
      <c r="E64" s="9" t="n"/>
      <c r="F64" s="9" t="n"/>
      <c r="G64" s="9" t="n"/>
      <c r="H64" s="9" t="n"/>
      <c r="I64" s="9" t="n"/>
    </row>
    <row r="65">
      <c r="B65" s="12" t="inlineStr">
        <is>
          <t>INCIDENCIAS:</t>
        </is>
      </c>
      <c r="C65" s="9" t="n"/>
      <c r="E65" s="9" t="n"/>
      <c r="F65" s="9" t="n"/>
      <c r="G65" s="9" t="n"/>
      <c r="H65" s="9" t="n"/>
      <c r="I65" s="9" t="n"/>
    </row>
    <row r="66">
      <c r="B66" s="12" t="inlineStr">
        <is>
          <t>PENDIENTES:</t>
        </is>
      </c>
      <c r="C66" s="9" t="n"/>
      <c r="E66" s="9" t="n"/>
      <c r="F66" s="9" t="n"/>
      <c r="G66" s="9" t="n"/>
      <c r="H66" s="9" t="n"/>
      <c r="I66" s="9" t="n"/>
    </row>
    <row r="68">
      <c r="B68" s="40" t="inlineStr">
        <is>
          <t>_____________________________</t>
        </is>
      </c>
      <c r="F68" s="40" t="inlineStr">
        <is>
          <t>_____________________________</t>
        </is>
      </c>
    </row>
    <row r="69">
      <c r="B69" s="47">
        <f>cfg_Responsable</f>
        <v/>
      </c>
      <c r="F69" s="47">
        <f>cfg_Gerente</f>
        <v/>
      </c>
    </row>
    <row r="70">
      <c r="B70" s="48" t="inlineStr">
        <is>
          <t>RESPONSABLE DEL CONTROL</t>
        </is>
      </c>
      <c r="F70" s="48" t="inlineStr">
        <is>
          <t>GERENCIA</t>
        </is>
      </c>
    </row>
    <row r="72">
      <c r="B72" s="49">
        <f>"Codigo: "&amp;cfg_CodFormato&amp;"   Version: "&amp;cfg_Version</f>
        <v/>
      </c>
    </row>
  </sheetData>
  <mergeCells count="19">
    <mergeCell ref="B7:I7"/>
    <mergeCell ref="F9:I9"/>
    <mergeCell ref="B59:C59"/>
    <mergeCell ref="B72:I72"/>
    <mergeCell ref="B3:I3"/>
    <mergeCell ref="B69:D69"/>
    <mergeCell ref="C10:D10"/>
    <mergeCell ref="B2:I2"/>
    <mergeCell ref="F69:I69"/>
    <mergeCell ref="B68:D68"/>
    <mergeCell ref="F68:I68"/>
    <mergeCell ref="C9:D9"/>
    <mergeCell ref="F10:I10"/>
    <mergeCell ref="E60:I66"/>
    <mergeCell ref="E59:I59"/>
    <mergeCell ref="F70:I70"/>
    <mergeCell ref="B5:I5"/>
    <mergeCell ref="B70:D70"/>
    <mergeCell ref="B4:I4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R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4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7" customWidth="1" min="9" max="9"/>
    <col width="10" customWidth="1" min="10" max="10"/>
    <col width="10" customWidth="1" min="11" max="11"/>
    <col width="9" customWidth="1" min="12" max="12"/>
    <col width="8" customWidth="1" min="13" max="13"/>
    <col width="9" customWidth="1" min="14" max="14"/>
    <col width="9" customWidth="1" min="15" max="15"/>
    <col width="9" customWidth="1" min="16" max="16"/>
    <col width="26" customWidth="1" min="17" max="17"/>
    <col width="24" customWidth="1" min="18" max="18"/>
  </cols>
  <sheetData>
    <row r="1">
      <c r="A1" s="41">
        <f>cfg_Empresa&amp;"  -  CONSOLIDADO MENSUAL DE ASISTENCIA"</f>
        <v/>
      </c>
    </row>
    <row r="2">
      <c r="A2" s="39">
        <f>"PERIODO: "&amp;TEXT(DATE(cfg_PeriodoAnio,cfg_PeriodoMes,1),"MMMM YYYY")&amp;"     RESPONSABLE: "&amp;cfg_Responsable</f>
        <v/>
      </c>
    </row>
    <row r="3" ht="34" customHeight="1">
      <c r="A3" s="50" t="inlineStr">
        <is>
          <t>N°</t>
        </is>
      </c>
      <c r="B3" s="50" t="inlineStr">
        <is>
          <t>DNI</t>
        </is>
      </c>
      <c r="C3" s="50" t="inlineStr">
        <is>
          <t>APELLIDOS Y NOMBRES</t>
        </is>
      </c>
      <c r="D3" s="50" t="inlineStr">
        <is>
          <t>DIAS PROG.</t>
        </is>
      </c>
      <c r="E3" s="50" t="inlineStr">
        <is>
          <t>PUNTUAL</t>
        </is>
      </c>
      <c r="F3" s="50" t="inlineStr">
        <is>
          <t>TARDANZA</t>
        </is>
      </c>
      <c r="G3" s="50" t="inlineStr">
        <is>
          <t>FALTA</t>
        </is>
      </c>
      <c r="H3" s="50" t="inlineStr">
        <is>
          <t>PERMISO</t>
        </is>
      </c>
      <c r="I3" s="50" t="inlineStr">
        <is>
          <t>CLASE</t>
        </is>
      </c>
      <c r="J3" s="50" t="inlineStr">
        <is>
          <t>NO PUSO HUELLA</t>
        </is>
      </c>
      <c r="K3" s="50" t="inlineStr">
        <is>
          <t>DESC. MEDICO</t>
        </is>
      </c>
      <c r="L3" s="50" t="inlineStr">
        <is>
          <t>COMISION</t>
        </is>
      </c>
      <c r="M3" s="50" t="inlineStr">
        <is>
          <t>FERIADO</t>
        </is>
      </c>
      <c r="N3" s="50" t="inlineStr">
        <is>
          <t>DESCANSO</t>
        </is>
      </c>
      <c r="O3" s="50" t="inlineStr">
        <is>
          <t>VACACIONES</t>
        </is>
      </c>
      <c r="P3" s="50" t="inlineStr">
        <is>
          <t>DIAS EFECT.</t>
        </is>
      </c>
      <c r="Q3" s="50" t="inlineStr">
        <is>
          <t>OBSERVACIONES</t>
        </is>
      </c>
      <c r="R3" s="50" t="inlineStr">
        <is>
          <t>EMPRESA/AREA</t>
        </is>
      </c>
    </row>
    <row r="4">
      <c r="A4" s="51" t="n"/>
      <c r="B4" s="51" t="n"/>
      <c r="C4" s="52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2" t="n"/>
      <c r="R4" s="52" t="n"/>
    </row>
    <row r="5">
      <c r="A5" s="51" t="n"/>
      <c r="B5" s="51" t="n"/>
      <c r="C5" s="52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2" t="n"/>
      <c r="R5" s="52" t="n"/>
    </row>
    <row r="6">
      <c r="A6" s="51" t="n"/>
      <c r="B6" s="51" t="n"/>
      <c r="C6" s="52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2" t="n"/>
      <c r="R6" s="52" t="n"/>
    </row>
    <row r="7">
      <c r="A7" s="51" t="n"/>
      <c r="B7" s="51" t="n"/>
      <c r="C7" s="52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2" t="n"/>
      <c r="R7" s="52" t="n"/>
    </row>
    <row r="8">
      <c r="A8" s="51" t="n"/>
      <c r="B8" s="51" t="n"/>
      <c r="C8" s="52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2" t="n"/>
      <c r="R8" s="52" t="n"/>
    </row>
    <row r="9">
      <c r="A9" s="51" t="n"/>
      <c r="B9" s="51" t="n"/>
      <c r="C9" s="52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2" t="n"/>
      <c r="R9" s="52" t="n"/>
    </row>
    <row r="10">
      <c r="A10" s="51" t="n"/>
      <c r="B10" s="51" t="n"/>
      <c r="C10" s="52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2" t="n"/>
      <c r="R10" s="52" t="n"/>
    </row>
    <row r="11">
      <c r="A11" s="51" t="n"/>
      <c r="B11" s="51" t="n"/>
      <c r="C11" s="52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2" t="n"/>
      <c r="R11" s="52" t="n"/>
    </row>
    <row r="12">
      <c r="A12" s="51" t="n"/>
      <c r="B12" s="51" t="n"/>
      <c r="C12" s="52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2" t="n"/>
      <c r="R12" s="52" t="n"/>
    </row>
    <row r="13">
      <c r="A13" s="51" t="n"/>
      <c r="B13" s="51" t="n"/>
      <c r="C13" s="52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2" t="n"/>
      <c r="R13" s="52" t="n"/>
    </row>
    <row r="14">
      <c r="A14" s="51" t="n"/>
      <c r="B14" s="51" t="n"/>
      <c r="C14" s="52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2" t="n"/>
      <c r="R14" s="52" t="n"/>
    </row>
    <row r="15">
      <c r="A15" s="51" t="n"/>
      <c r="B15" s="51" t="n"/>
      <c r="C15" s="52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2" t="n"/>
      <c r="R15" s="52" t="n"/>
    </row>
    <row r="16">
      <c r="A16" s="51" t="n"/>
      <c r="B16" s="51" t="n"/>
      <c r="C16" s="52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2" t="n"/>
      <c r="R16" s="52" t="n"/>
    </row>
    <row r="17">
      <c r="A17" s="51" t="n"/>
      <c r="B17" s="51" t="n"/>
      <c r="C17" s="52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2" t="n"/>
      <c r="R17" s="52" t="n"/>
    </row>
    <row r="18">
      <c r="A18" s="51" t="n"/>
      <c r="B18" s="51" t="n"/>
      <c r="C18" s="52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2" t="n"/>
      <c r="R18" s="52" t="n"/>
    </row>
    <row r="19">
      <c r="A19" s="51" t="n"/>
      <c r="B19" s="51" t="n"/>
      <c r="C19" s="52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2" t="n"/>
      <c r="R19" s="52" t="n"/>
    </row>
    <row r="20">
      <c r="A20" s="51" t="n"/>
      <c r="B20" s="51" t="n"/>
      <c r="C20" s="52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2" t="n"/>
      <c r="R20" s="52" t="n"/>
    </row>
    <row r="21">
      <c r="A21" s="51" t="n"/>
      <c r="B21" s="51" t="n"/>
      <c r="C21" s="52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2" t="n"/>
      <c r="R21" s="52" t="n"/>
    </row>
    <row r="22">
      <c r="A22" s="51" t="n"/>
      <c r="B22" s="51" t="n"/>
      <c r="C22" s="52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2" t="n"/>
      <c r="R22" s="52" t="n"/>
    </row>
    <row r="23">
      <c r="A23" s="51" t="n"/>
      <c r="B23" s="51" t="n"/>
      <c r="C23" s="52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2" t="n"/>
      <c r="R23" s="52" t="n"/>
    </row>
    <row r="24">
      <c r="A24" s="51" t="n"/>
      <c r="B24" s="51" t="n"/>
      <c r="C24" s="52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2" t="n"/>
      <c r="R24" s="52" t="n"/>
    </row>
    <row r="25">
      <c r="A25" s="51" t="n"/>
      <c r="B25" s="51" t="n"/>
      <c r="C25" s="52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2" t="n"/>
      <c r="R25" s="52" t="n"/>
    </row>
    <row r="26">
      <c r="A26" s="51" t="n"/>
      <c r="B26" s="51" t="n"/>
      <c r="C26" s="52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2" t="n"/>
      <c r="R26" s="52" t="n"/>
    </row>
    <row r="27">
      <c r="A27" s="51" t="n"/>
      <c r="B27" s="51" t="n"/>
      <c r="C27" s="52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2" t="n"/>
      <c r="R27" s="52" t="n"/>
    </row>
    <row r="28">
      <c r="A28" s="51" t="n"/>
      <c r="B28" s="51" t="n"/>
      <c r="C28" s="52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2" t="n"/>
      <c r="R28" s="52" t="n"/>
    </row>
  </sheetData>
  <mergeCells count="2">
    <mergeCell ref="A2:R2"/>
    <mergeCell ref="A1:R1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sheetData>
    <row r="1">
      <c r="A1" s="53" t="inlineStr">
        <is>
          <t>CUADRO GENERAL DE ASISTENCIA (se genera por VBA, 1 hoja por mes)</t>
        </is>
      </c>
    </row>
    <row r="3">
      <c r="A3" s="54" t="inlineStr">
        <is>
          <t>Esta hoja es la GUIA/semilla. Al pulsar CUADRO GENERAL, la macro crea (o actualiza) una hoja</t>
        </is>
      </c>
    </row>
    <row r="4">
      <c r="A4" s="54" t="inlineStr">
        <is>
          <t>con el nombre del mes (ej: OCTUBRE 2026) reproduciendo el formato oficial del archivo</t>
        </is>
      </c>
    </row>
    <row r="5">
      <c r="A5" s="54" t="inlineStr">
        <is>
          <t>'CUADRO GENERAL DE ASISTENCIA': N / DNI / APELLIDOS Y NOMBRES, una columna M y una T por dia,</t>
        </is>
      </c>
    </row>
    <row r="6">
      <c r="A6" s="54" t="inlineStr">
        <is>
          <t>cabeceras LUN..DOM, DESCANSO combinado los domingos, codigos con color segun CATALOGO_ESTADOS,</t>
        </is>
      </c>
    </row>
    <row r="7">
      <c r="A7" s="54" t="inlineStr">
        <is>
          <t>bloques por empresa (AUDICONTA / SEG PRO FORCE) y el CUADRO RESUMEN CONTROL DE ASISTENCIA</t>
        </is>
      </c>
    </row>
    <row r="8">
      <c r="A8" s="54" t="inlineStr">
        <is>
          <t>(PUNTUAL / TARDAN. / FALTA / PERMISO / SUSP. / NO FIRMO) + leyenda de codigos y notas R.D.</t>
        </is>
      </c>
    </row>
    <row r="9">
      <c r="A9" s="54" t="inlineStr"/>
    </row>
    <row r="10">
      <c r="A10" s="54" t="inlineStr">
        <is>
          <t>Codigos (CATALOGO_ESTADOS):  2=Asistio/Puntual  T=Tardanza  F=Falta  PE=Permiso  S=Suspension</t>
        </is>
      </c>
    </row>
    <row r="11">
      <c r="A11" s="54" t="inlineStr">
        <is>
          <t>FE=Feriado  V=Vacaciones  C=Comision  CL=Clase  NH=No puso huella  DM=Desc.medico  NF=No firmo  D=Descanso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20" customWidth="1" min="4" max="4"/>
    <col width="34" customWidth="1" min="5" max="5"/>
    <col width="26" customWidth="1" min="6" max="6"/>
    <col width="26" customWidth="1" min="7" max="7"/>
    <col width="18" customWidth="1" min="8" max="8"/>
  </cols>
  <sheetData>
    <row r="1">
      <c r="A1" s="53" t="inlineStr">
        <is>
          <t>GESTION DE INCIDENCIAS</t>
        </is>
      </c>
    </row>
    <row r="2">
      <c r="A2" s="17" t="inlineStr">
        <is>
          <t>FECHA</t>
        </is>
      </c>
      <c r="B2" s="17" t="inlineStr">
        <is>
          <t>ID PERSONAL</t>
        </is>
      </c>
      <c r="C2" s="17" t="inlineStr">
        <is>
          <t>APELLIDOS Y NOMBRES</t>
        </is>
      </c>
      <c r="D2" s="17" t="inlineStr">
        <is>
          <t>TIPO DE INCIDENCIA</t>
        </is>
      </c>
      <c r="E2" s="17" t="inlineStr">
        <is>
          <t>OBSERVACION</t>
        </is>
      </c>
      <c r="F2" s="17" t="inlineStr">
        <is>
          <t>DOCUMENTO SUSTENTATORIO</t>
        </is>
      </c>
      <c r="G2" s="17" t="inlineStr">
        <is>
          <t>USUARIO QUE REGISTRA</t>
        </is>
      </c>
      <c r="H2" s="17" t="inlineStr">
        <is>
          <t>FECHA/HORA REGISTRO</t>
        </is>
      </c>
    </row>
    <row r="3">
      <c r="A3" s="19" t="n"/>
      <c r="B3" s="7" t="n"/>
      <c r="C3" s="7" t="n"/>
      <c r="D3" s="7" t="n"/>
      <c r="E3" s="7" t="n"/>
      <c r="F3" s="7" t="n"/>
      <c r="G3" s="7" t="n"/>
      <c r="H3" s="55" t="n"/>
    </row>
    <row r="4">
      <c r="A4" s="19" t="n"/>
      <c r="B4" s="7" t="n"/>
      <c r="C4" s="7" t="n"/>
      <c r="D4" s="7" t="n"/>
      <c r="E4" s="7" t="n"/>
      <c r="F4" s="7" t="n"/>
      <c r="G4" s="7" t="n"/>
      <c r="H4" s="55" t="n"/>
    </row>
    <row r="5">
      <c r="A5" s="19" t="n"/>
      <c r="B5" s="7" t="n"/>
      <c r="C5" s="7" t="n"/>
      <c r="D5" s="7" t="n"/>
      <c r="E5" s="7" t="n"/>
      <c r="F5" s="7" t="n"/>
      <c r="G5" s="7" t="n"/>
      <c r="H5" s="55" t="n"/>
    </row>
    <row r="6">
      <c r="A6" s="19" t="n"/>
      <c r="B6" s="7" t="n"/>
      <c r="C6" s="7" t="n"/>
      <c r="D6" s="7" t="n"/>
      <c r="E6" s="7" t="n"/>
      <c r="F6" s="7" t="n"/>
      <c r="G6" s="7" t="n"/>
      <c r="H6" s="55" t="n"/>
    </row>
    <row r="7">
      <c r="A7" s="19" t="n"/>
      <c r="B7" s="7" t="n"/>
      <c r="C7" s="7" t="n"/>
      <c r="D7" s="7" t="n"/>
      <c r="E7" s="7" t="n"/>
      <c r="F7" s="7" t="n"/>
      <c r="G7" s="7" t="n"/>
      <c r="H7" s="55" t="n"/>
    </row>
    <row r="8">
      <c r="A8" s="19" t="n"/>
      <c r="B8" s="7" t="n"/>
      <c r="C8" s="7" t="n"/>
      <c r="D8" s="7" t="n"/>
      <c r="E8" s="7" t="n"/>
      <c r="F8" s="7" t="n"/>
      <c r="G8" s="7" t="n"/>
      <c r="H8" s="55" t="n"/>
    </row>
    <row r="9">
      <c r="A9" s="19" t="n"/>
      <c r="B9" s="7" t="n"/>
      <c r="C9" s="7" t="n"/>
      <c r="D9" s="7" t="n"/>
      <c r="E9" s="7" t="n"/>
      <c r="F9" s="7" t="n"/>
      <c r="G9" s="7" t="n"/>
      <c r="H9" s="55" t="n"/>
    </row>
    <row r="10">
      <c r="A10" s="19" t="n"/>
      <c r="B10" s="7" t="n"/>
      <c r="C10" s="7" t="n"/>
      <c r="D10" s="7" t="n"/>
      <c r="E10" s="7" t="n"/>
      <c r="F10" s="7" t="n"/>
      <c r="G10" s="7" t="n"/>
      <c r="H10" s="55" t="n"/>
    </row>
    <row r="11">
      <c r="A11" s="19" t="n"/>
      <c r="B11" s="7" t="n"/>
      <c r="C11" s="7" t="n"/>
      <c r="D11" s="7" t="n"/>
      <c r="E11" s="7" t="n"/>
      <c r="F11" s="7" t="n"/>
      <c r="G11" s="7" t="n"/>
      <c r="H11" s="55" t="n"/>
    </row>
    <row r="12">
      <c r="A12" s="19" t="n"/>
      <c r="B12" s="7" t="n"/>
      <c r="C12" s="7" t="n"/>
      <c r="D12" s="7" t="n"/>
      <c r="E12" s="7" t="n"/>
      <c r="F12" s="7" t="n"/>
      <c r="G12" s="7" t="n"/>
      <c r="H12" s="55" t="n"/>
    </row>
    <row r="13">
      <c r="A13" s="19" t="n"/>
      <c r="B13" s="7" t="n"/>
      <c r="C13" s="7" t="n"/>
      <c r="D13" s="7" t="n"/>
      <c r="E13" s="7" t="n"/>
      <c r="F13" s="7" t="n"/>
      <c r="G13" s="7" t="n"/>
      <c r="H13" s="55" t="n"/>
    </row>
    <row r="14">
      <c r="A14" s="19" t="n"/>
      <c r="B14" s="7" t="n"/>
      <c r="C14" s="7" t="n"/>
      <c r="D14" s="7" t="n"/>
      <c r="E14" s="7" t="n"/>
      <c r="F14" s="7" t="n"/>
      <c r="G14" s="7" t="n"/>
      <c r="H14" s="55" t="n"/>
    </row>
    <row r="15">
      <c r="A15" s="19" t="n"/>
      <c r="B15" s="7" t="n"/>
      <c r="C15" s="7" t="n"/>
      <c r="D15" s="7" t="n"/>
      <c r="E15" s="7" t="n"/>
      <c r="F15" s="7" t="n"/>
      <c r="G15" s="7" t="n"/>
      <c r="H15" s="55" t="n"/>
    </row>
    <row r="16">
      <c r="A16" s="19" t="n"/>
      <c r="B16" s="7" t="n"/>
      <c r="C16" s="7" t="n"/>
      <c r="D16" s="7" t="n"/>
      <c r="E16" s="7" t="n"/>
      <c r="F16" s="7" t="n"/>
      <c r="G16" s="7" t="n"/>
      <c r="H16" s="55" t="n"/>
    </row>
    <row r="17">
      <c r="A17" s="19" t="n"/>
      <c r="B17" s="7" t="n"/>
      <c r="C17" s="7" t="n"/>
      <c r="D17" s="7" t="n"/>
      <c r="E17" s="7" t="n"/>
      <c r="F17" s="7" t="n"/>
      <c r="G17" s="7" t="n"/>
      <c r="H17" s="55" t="n"/>
    </row>
    <row r="18">
      <c r="A18" s="19" t="n"/>
      <c r="B18" s="7" t="n"/>
      <c r="C18" s="7" t="n"/>
      <c r="D18" s="7" t="n"/>
      <c r="E18" s="7" t="n"/>
      <c r="F18" s="7" t="n"/>
      <c r="G18" s="7" t="n"/>
      <c r="H18" s="55" t="n"/>
    </row>
    <row r="19">
      <c r="A19" s="19" t="n"/>
      <c r="B19" s="7" t="n"/>
      <c r="C19" s="7" t="n"/>
      <c r="D19" s="7" t="n"/>
      <c r="E19" s="7" t="n"/>
      <c r="F19" s="7" t="n"/>
      <c r="G19" s="7" t="n"/>
      <c r="H19" s="55" t="n"/>
    </row>
    <row r="20">
      <c r="A20" s="19" t="n"/>
      <c r="B20" s="7" t="n"/>
      <c r="C20" s="7" t="n"/>
      <c r="D20" s="7" t="n"/>
      <c r="E20" s="7" t="n"/>
      <c r="F20" s="7" t="n"/>
      <c r="G20" s="7" t="n"/>
      <c r="H20" s="55" t="n"/>
    </row>
    <row r="21">
      <c r="A21" s="19" t="n"/>
      <c r="B21" s="7" t="n"/>
      <c r="C21" s="7" t="n"/>
      <c r="D21" s="7" t="n"/>
      <c r="E21" s="7" t="n"/>
      <c r="F21" s="7" t="n"/>
      <c r="G21" s="7" t="n"/>
      <c r="H21" s="55" t="n"/>
    </row>
    <row r="22">
      <c r="A22" s="19" t="n"/>
      <c r="B22" s="7" t="n"/>
      <c r="C22" s="7" t="n"/>
      <c r="D22" s="7" t="n"/>
      <c r="E22" s="7" t="n"/>
      <c r="F22" s="7" t="n"/>
      <c r="G22" s="7" t="n"/>
      <c r="H22" s="55" t="n"/>
    </row>
    <row r="23">
      <c r="A23" s="19" t="n"/>
      <c r="B23" s="7" t="n"/>
      <c r="C23" s="7" t="n"/>
      <c r="D23" s="7" t="n"/>
      <c r="E23" s="7" t="n"/>
      <c r="F23" s="7" t="n"/>
      <c r="G23" s="7" t="n"/>
      <c r="H23" s="55" t="n"/>
    </row>
    <row r="24">
      <c r="A24" s="19" t="n"/>
      <c r="B24" s="7" t="n"/>
      <c r="C24" s="7" t="n"/>
      <c r="D24" s="7" t="n"/>
      <c r="E24" s="7" t="n"/>
      <c r="F24" s="7" t="n"/>
      <c r="G24" s="7" t="n"/>
      <c r="H24" s="55" t="n"/>
    </row>
    <row r="25">
      <c r="A25" s="19" t="n"/>
      <c r="B25" s="7" t="n"/>
      <c r="C25" s="7" t="n"/>
      <c r="D25" s="7" t="n"/>
      <c r="E25" s="7" t="n"/>
      <c r="F25" s="7" t="n"/>
      <c r="G25" s="7" t="n"/>
      <c r="H25" s="55" t="n"/>
    </row>
    <row r="26">
      <c r="A26" s="19" t="n"/>
      <c r="B26" s="7" t="n"/>
      <c r="C26" s="7" t="n"/>
      <c r="D26" s="7" t="n"/>
      <c r="E26" s="7" t="n"/>
      <c r="F26" s="7" t="n"/>
      <c r="G26" s="7" t="n"/>
      <c r="H26" s="55" t="n"/>
    </row>
    <row r="27">
      <c r="A27" s="19" t="n"/>
      <c r="B27" s="7" t="n"/>
      <c r="C27" s="7" t="n"/>
      <c r="D27" s="7" t="n"/>
      <c r="E27" s="7" t="n"/>
      <c r="F27" s="7" t="n"/>
      <c r="G27" s="7" t="n"/>
      <c r="H27" s="55" t="n"/>
    </row>
    <row r="28">
      <c r="A28" s="19" t="n"/>
      <c r="B28" s="7" t="n"/>
      <c r="C28" s="7" t="n"/>
      <c r="D28" s="7" t="n"/>
      <c r="E28" s="7" t="n"/>
      <c r="F28" s="7" t="n"/>
      <c r="G28" s="7" t="n"/>
      <c r="H28" s="55" t="n"/>
    </row>
    <row r="29">
      <c r="A29" s="19" t="n"/>
      <c r="B29" s="7" t="n"/>
      <c r="C29" s="7" t="n"/>
      <c r="D29" s="7" t="n"/>
      <c r="E29" s="7" t="n"/>
      <c r="F29" s="7" t="n"/>
      <c r="G29" s="7" t="n"/>
      <c r="H29" s="55" t="n"/>
    </row>
    <row r="30">
      <c r="A30" s="19" t="n"/>
      <c r="B30" s="7" t="n"/>
      <c r="C30" s="7" t="n"/>
      <c r="D30" s="7" t="n"/>
      <c r="E30" s="7" t="n"/>
      <c r="F30" s="7" t="n"/>
      <c r="G30" s="7" t="n"/>
      <c r="H30" s="55" t="n"/>
    </row>
    <row r="31">
      <c r="A31" s="19" t="n"/>
      <c r="B31" s="7" t="n"/>
      <c r="C31" s="7" t="n"/>
      <c r="D31" s="7" t="n"/>
      <c r="E31" s="7" t="n"/>
      <c r="F31" s="7" t="n"/>
      <c r="G31" s="7" t="n"/>
      <c r="H31" s="55" t="n"/>
    </row>
    <row r="32">
      <c r="A32" s="19" t="n"/>
      <c r="B32" s="7" t="n"/>
      <c r="C32" s="7" t="n"/>
      <c r="D32" s="7" t="n"/>
      <c r="E32" s="7" t="n"/>
      <c r="F32" s="7" t="n"/>
      <c r="G32" s="7" t="n"/>
      <c r="H32" s="55" t="n"/>
    </row>
    <row r="33">
      <c r="A33" s="19" t="n"/>
      <c r="B33" s="7" t="n"/>
      <c r="C33" s="7" t="n"/>
      <c r="D33" s="7" t="n"/>
      <c r="E33" s="7" t="n"/>
      <c r="F33" s="7" t="n"/>
      <c r="G33" s="7" t="n"/>
      <c r="H33" s="55" t="n"/>
    </row>
    <row r="34">
      <c r="A34" s="19" t="n"/>
      <c r="B34" s="7" t="n"/>
      <c r="C34" s="7" t="n"/>
      <c r="D34" s="7" t="n"/>
      <c r="E34" s="7" t="n"/>
      <c r="F34" s="7" t="n"/>
      <c r="G34" s="7" t="n"/>
      <c r="H34" s="55" t="n"/>
    </row>
    <row r="35">
      <c r="A35" s="19" t="n"/>
      <c r="B35" s="7" t="n"/>
      <c r="C35" s="7" t="n"/>
      <c r="D35" s="7" t="n"/>
      <c r="E35" s="7" t="n"/>
      <c r="F35" s="7" t="n"/>
      <c r="G35" s="7" t="n"/>
      <c r="H35" s="55" t="n"/>
    </row>
    <row r="36">
      <c r="A36" s="19" t="n"/>
      <c r="B36" s="7" t="n"/>
      <c r="C36" s="7" t="n"/>
      <c r="D36" s="7" t="n"/>
      <c r="E36" s="7" t="n"/>
      <c r="F36" s="7" t="n"/>
      <c r="G36" s="7" t="n"/>
      <c r="H36" s="55" t="n"/>
    </row>
    <row r="37">
      <c r="A37" s="19" t="n"/>
      <c r="B37" s="7" t="n"/>
      <c r="C37" s="7" t="n"/>
      <c r="D37" s="7" t="n"/>
      <c r="E37" s="7" t="n"/>
      <c r="F37" s="7" t="n"/>
      <c r="G37" s="7" t="n"/>
      <c r="H37" s="55" t="n"/>
    </row>
    <row r="38">
      <c r="A38" s="19" t="n"/>
      <c r="B38" s="7" t="n"/>
      <c r="C38" s="7" t="n"/>
      <c r="D38" s="7" t="n"/>
      <c r="E38" s="7" t="n"/>
      <c r="F38" s="7" t="n"/>
      <c r="G38" s="7" t="n"/>
      <c r="H38" s="55" t="n"/>
    </row>
    <row r="39">
      <c r="A39" s="19" t="n"/>
      <c r="B39" s="7" t="n"/>
      <c r="C39" s="7" t="n"/>
      <c r="D39" s="7" t="n"/>
      <c r="E39" s="7" t="n"/>
      <c r="F39" s="7" t="n"/>
      <c r="G39" s="7" t="n"/>
      <c r="H39" s="55" t="n"/>
    </row>
    <row r="40">
      <c r="A40" s="19" t="n"/>
      <c r="B40" s="7" t="n"/>
      <c r="C40" s="7" t="n"/>
      <c r="D40" s="7" t="n"/>
      <c r="E40" s="7" t="n"/>
      <c r="F40" s="7" t="n"/>
      <c r="G40" s="7" t="n"/>
      <c r="H40" s="55" t="n"/>
    </row>
    <row r="41">
      <c r="A41" s="19" t="n"/>
      <c r="B41" s="7" t="n"/>
      <c r="C41" s="7" t="n"/>
      <c r="D41" s="7" t="n"/>
      <c r="E41" s="7" t="n"/>
      <c r="F41" s="7" t="n"/>
      <c r="G41" s="7" t="n"/>
      <c r="H41" s="55" t="n"/>
    </row>
    <row r="42">
      <c r="A42" s="19" t="n"/>
      <c r="B42" s="7" t="n"/>
      <c r="C42" s="7" t="n"/>
      <c r="D42" s="7" t="n"/>
      <c r="E42" s="7" t="n"/>
      <c r="F42" s="7" t="n"/>
      <c r="G42" s="7" t="n"/>
      <c r="H42" s="55" t="n"/>
    </row>
    <row r="43">
      <c r="A43" s="19" t="n"/>
      <c r="B43" s="7" t="n"/>
      <c r="C43" s="7" t="n"/>
      <c r="D43" s="7" t="n"/>
      <c r="E43" s="7" t="n"/>
      <c r="F43" s="7" t="n"/>
      <c r="G43" s="7" t="n"/>
      <c r="H43" s="55" t="n"/>
    </row>
    <row r="44">
      <c r="A44" s="19" t="n"/>
      <c r="B44" s="7" t="n"/>
      <c r="C44" s="7" t="n"/>
      <c r="D44" s="7" t="n"/>
      <c r="E44" s="7" t="n"/>
      <c r="F44" s="7" t="n"/>
      <c r="G44" s="7" t="n"/>
      <c r="H44" s="55" t="n"/>
    </row>
    <row r="45">
      <c r="A45" s="19" t="n"/>
      <c r="B45" s="7" t="n"/>
      <c r="C45" s="7" t="n"/>
      <c r="D45" s="7" t="n"/>
      <c r="E45" s="7" t="n"/>
      <c r="F45" s="7" t="n"/>
      <c r="G45" s="7" t="n"/>
      <c r="H45" s="55" t="n"/>
    </row>
    <row r="46">
      <c r="A46" s="19" t="n"/>
      <c r="B46" s="7" t="n"/>
      <c r="C46" s="7" t="n"/>
      <c r="D46" s="7" t="n"/>
      <c r="E46" s="7" t="n"/>
      <c r="F46" s="7" t="n"/>
      <c r="G46" s="7" t="n"/>
      <c r="H46" s="55" t="n"/>
    </row>
    <row r="47">
      <c r="A47" s="19" t="n"/>
      <c r="B47" s="7" t="n"/>
      <c r="C47" s="7" t="n"/>
      <c r="D47" s="7" t="n"/>
      <c r="E47" s="7" t="n"/>
      <c r="F47" s="7" t="n"/>
      <c r="G47" s="7" t="n"/>
      <c r="H47" s="55" t="n"/>
    </row>
    <row r="48">
      <c r="A48" s="19" t="n"/>
      <c r="B48" s="7" t="n"/>
      <c r="C48" s="7" t="n"/>
      <c r="D48" s="7" t="n"/>
      <c r="E48" s="7" t="n"/>
      <c r="F48" s="7" t="n"/>
      <c r="G48" s="7" t="n"/>
      <c r="H48" s="55" t="n"/>
    </row>
    <row r="49">
      <c r="A49" s="19" t="n"/>
      <c r="B49" s="7" t="n"/>
      <c r="C49" s="7" t="n"/>
      <c r="D49" s="7" t="n"/>
      <c r="E49" s="7" t="n"/>
      <c r="F49" s="7" t="n"/>
      <c r="G49" s="7" t="n"/>
      <c r="H49" s="55" t="n"/>
    </row>
    <row r="50">
      <c r="A50" s="19" t="n"/>
      <c r="B50" s="7" t="n"/>
      <c r="C50" s="7" t="n"/>
      <c r="D50" s="7" t="n"/>
      <c r="E50" s="7" t="n"/>
      <c r="F50" s="7" t="n"/>
      <c r="G50" s="7" t="n"/>
      <c r="H50" s="55" t="n"/>
    </row>
    <row r="51">
      <c r="A51" s="19" t="n"/>
      <c r="B51" s="7" t="n"/>
      <c r="C51" s="7" t="n"/>
      <c r="D51" s="7" t="n"/>
      <c r="E51" s="7" t="n"/>
      <c r="F51" s="7" t="n"/>
      <c r="G51" s="7" t="n"/>
      <c r="H51" s="55" t="n"/>
    </row>
    <row r="52">
      <c r="A52" s="19" t="n"/>
      <c r="B52" s="7" t="n"/>
      <c r="C52" s="7" t="n"/>
      <c r="D52" s="7" t="n"/>
      <c r="E52" s="7" t="n"/>
      <c r="F52" s="7" t="n"/>
      <c r="G52" s="7" t="n"/>
      <c r="H52" s="55" t="n"/>
    </row>
    <row r="53">
      <c r="A53" s="19" t="n"/>
      <c r="B53" s="7" t="n"/>
      <c r="C53" s="7" t="n"/>
      <c r="D53" s="7" t="n"/>
      <c r="E53" s="7" t="n"/>
      <c r="F53" s="7" t="n"/>
      <c r="G53" s="7" t="n"/>
      <c r="H53" s="55" t="n"/>
    </row>
    <row r="54">
      <c r="A54" s="19" t="n"/>
      <c r="B54" s="7" t="n"/>
      <c r="C54" s="7" t="n"/>
      <c r="D54" s="7" t="n"/>
      <c r="E54" s="7" t="n"/>
      <c r="F54" s="7" t="n"/>
      <c r="G54" s="7" t="n"/>
      <c r="H54" s="55" t="n"/>
    </row>
    <row r="55">
      <c r="A55" s="19" t="n"/>
      <c r="B55" s="7" t="n"/>
      <c r="C55" s="7" t="n"/>
      <c r="D55" s="7" t="n"/>
      <c r="E55" s="7" t="n"/>
      <c r="F55" s="7" t="n"/>
      <c r="G55" s="7" t="n"/>
      <c r="H55" s="55" t="n"/>
    </row>
    <row r="56">
      <c r="A56" s="19" t="n"/>
      <c r="B56" s="7" t="n"/>
      <c r="C56" s="7" t="n"/>
      <c r="D56" s="7" t="n"/>
      <c r="E56" s="7" t="n"/>
      <c r="F56" s="7" t="n"/>
      <c r="G56" s="7" t="n"/>
      <c r="H56" s="55" t="n"/>
    </row>
    <row r="57">
      <c r="A57" s="19" t="n"/>
      <c r="B57" s="7" t="n"/>
      <c r="C57" s="7" t="n"/>
      <c r="D57" s="7" t="n"/>
      <c r="E57" s="7" t="n"/>
      <c r="F57" s="7" t="n"/>
      <c r="G57" s="7" t="n"/>
      <c r="H57" s="55" t="n"/>
    </row>
    <row r="58">
      <c r="A58" s="19" t="n"/>
      <c r="B58" s="7" t="n"/>
      <c r="C58" s="7" t="n"/>
      <c r="D58" s="7" t="n"/>
      <c r="E58" s="7" t="n"/>
      <c r="F58" s="7" t="n"/>
      <c r="G58" s="7" t="n"/>
      <c r="H58" s="55" t="n"/>
    </row>
    <row r="59">
      <c r="A59" s="19" t="n"/>
      <c r="B59" s="7" t="n"/>
      <c r="C59" s="7" t="n"/>
      <c r="D59" s="7" t="n"/>
      <c r="E59" s="7" t="n"/>
      <c r="F59" s="7" t="n"/>
      <c r="G59" s="7" t="n"/>
      <c r="H59" s="55" t="n"/>
    </row>
    <row r="60">
      <c r="A60" s="19" t="n"/>
      <c r="B60" s="7" t="n"/>
      <c r="C60" s="7" t="n"/>
      <c r="D60" s="7" t="n"/>
      <c r="E60" s="7" t="n"/>
      <c r="F60" s="7" t="n"/>
      <c r="G60" s="7" t="n"/>
      <c r="H60" s="55" t="n"/>
    </row>
    <row r="61">
      <c r="A61" s="19" t="n"/>
      <c r="B61" s="7" t="n"/>
      <c r="C61" s="7" t="n"/>
      <c r="D61" s="7" t="n"/>
      <c r="E61" s="7" t="n"/>
      <c r="F61" s="7" t="n"/>
      <c r="G61" s="7" t="n"/>
      <c r="H61" s="55" t="n"/>
    </row>
    <row r="62">
      <c r="A62" s="19" t="n"/>
      <c r="B62" s="7" t="n"/>
      <c r="C62" s="7" t="n"/>
      <c r="D62" s="7" t="n"/>
      <c r="E62" s="7" t="n"/>
      <c r="F62" s="7" t="n"/>
      <c r="G62" s="7" t="n"/>
      <c r="H62" s="55" t="n"/>
    </row>
    <row r="63">
      <c r="A63" s="19" t="n"/>
      <c r="B63" s="7" t="n"/>
      <c r="C63" s="7" t="n"/>
      <c r="D63" s="7" t="n"/>
      <c r="E63" s="7" t="n"/>
      <c r="F63" s="7" t="n"/>
      <c r="G63" s="7" t="n"/>
      <c r="H63" s="55" t="n"/>
    </row>
    <row r="64">
      <c r="A64" s="19" t="n"/>
      <c r="B64" s="7" t="n"/>
      <c r="C64" s="7" t="n"/>
      <c r="D64" s="7" t="n"/>
      <c r="E64" s="7" t="n"/>
      <c r="F64" s="7" t="n"/>
      <c r="G64" s="7" t="n"/>
      <c r="H64" s="55" t="n"/>
    </row>
    <row r="65">
      <c r="A65" s="19" t="n"/>
      <c r="B65" s="7" t="n"/>
      <c r="C65" s="7" t="n"/>
      <c r="D65" s="7" t="n"/>
      <c r="E65" s="7" t="n"/>
      <c r="F65" s="7" t="n"/>
      <c r="G65" s="7" t="n"/>
      <c r="H65" s="55" t="n"/>
    </row>
    <row r="66">
      <c r="A66" s="19" t="n"/>
      <c r="B66" s="7" t="n"/>
      <c r="C66" s="7" t="n"/>
      <c r="D66" s="7" t="n"/>
      <c r="E66" s="7" t="n"/>
      <c r="F66" s="7" t="n"/>
      <c r="G66" s="7" t="n"/>
      <c r="H66" s="55" t="n"/>
    </row>
    <row r="67">
      <c r="A67" s="19" t="n"/>
      <c r="B67" s="7" t="n"/>
      <c r="C67" s="7" t="n"/>
      <c r="D67" s="7" t="n"/>
      <c r="E67" s="7" t="n"/>
      <c r="F67" s="7" t="n"/>
      <c r="G67" s="7" t="n"/>
      <c r="H67" s="55" t="n"/>
    </row>
    <row r="68">
      <c r="A68" s="19" t="n"/>
      <c r="B68" s="7" t="n"/>
      <c r="C68" s="7" t="n"/>
      <c r="D68" s="7" t="n"/>
      <c r="E68" s="7" t="n"/>
      <c r="F68" s="7" t="n"/>
      <c r="G68" s="7" t="n"/>
      <c r="H68" s="55" t="n"/>
    </row>
    <row r="69">
      <c r="A69" s="19" t="n"/>
      <c r="B69" s="7" t="n"/>
      <c r="C69" s="7" t="n"/>
      <c r="D69" s="7" t="n"/>
      <c r="E69" s="7" t="n"/>
      <c r="F69" s="7" t="n"/>
      <c r="G69" s="7" t="n"/>
      <c r="H69" s="55" t="n"/>
    </row>
    <row r="70">
      <c r="A70" s="19" t="n"/>
      <c r="B70" s="7" t="n"/>
      <c r="C70" s="7" t="n"/>
      <c r="D70" s="7" t="n"/>
      <c r="E70" s="7" t="n"/>
      <c r="F70" s="7" t="n"/>
      <c r="G70" s="7" t="n"/>
      <c r="H70" s="55" t="n"/>
    </row>
    <row r="71">
      <c r="A71" s="19" t="n"/>
      <c r="B71" s="7" t="n"/>
      <c r="C71" s="7" t="n"/>
      <c r="D71" s="7" t="n"/>
      <c r="E71" s="7" t="n"/>
      <c r="F71" s="7" t="n"/>
      <c r="G71" s="7" t="n"/>
      <c r="H71" s="55" t="n"/>
    </row>
    <row r="72">
      <c r="A72" s="19" t="n"/>
      <c r="B72" s="7" t="n"/>
      <c r="C72" s="7" t="n"/>
      <c r="D72" s="7" t="n"/>
      <c r="E72" s="7" t="n"/>
      <c r="F72" s="7" t="n"/>
      <c r="G72" s="7" t="n"/>
      <c r="H72" s="55" t="n"/>
    </row>
    <row r="73">
      <c r="A73" s="19" t="n"/>
      <c r="B73" s="7" t="n"/>
      <c r="C73" s="7" t="n"/>
      <c r="D73" s="7" t="n"/>
      <c r="E73" s="7" t="n"/>
      <c r="F73" s="7" t="n"/>
      <c r="G73" s="7" t="n"/>
      <c r="H73" s="55" t="n"/>
    </row>
    <row r="74">
      <c r="A74" s="19" t="n"/>
      <c r="B74" s="7" t="n"/>
      <c r="C74" s="7" t="n"/>
      <c r="D74" s="7" t="n"/>
      <c r="E74" s="7" t="n"/>
      <c r="F74" s="7" t="n"/>
      <c r="G74" s="7" t="n"/>
      <c r="H74" s="55" t="n"/>
    </row>
    <row r="75">
      <c r="A75" s="19" t="n"/>
      <c r="B75" s="7" t="n"/>
      <c r="C75" s="7" t="n"/>
      <c r="D75" s="7" t="n"/>
      <c r="E75" s="7" t="n"/>
      <c r="F75" s="7" t="n"/>
      <c r="G75" s="7" t="n"/>
      <c r="H75" s="55" t="n"/>
    </row>
    <row r="76">
      <c r="A76" s="19" t="n"/>
      <c r="B76" s="7" t="n"/>
      <c r="C76" s="7" t="n"/>
      <c r="D76" s="7" t="n"/>
      <c r="E76" s="7" t="n"/>
      <c r="F76" s="7" t="n"/>
      <c r="G76" s="7" t="n"/>
      <c r="H76" s="55" t="n"/>
    </row>
    <row r="77">
      <c r="A77" s="19" t="n"/>
      <c r="B77" s="7" t="n"/>
      <c r="C77" s="7" t="n"/>
      <c r="D77" s="7" t="n"/>
      <c r="E77" s="7" t="n"/>
      <c r="F77" s="7" t="n"/>
      <c r="G77" s="7" t="n"/>
      <c r="H77" s="55" t="n"/>
    </row>
    <row r="78">
      <c r="A78" s="19" t="n"/>
      <c r="B78" s="7" t="n"/>
      <c r="C78" s="7" t="n"/>
      <c r="D78" s="7" t="n"/>
      <c r="E78" s="7" t="n"/>
      <c r="F78" s="7" t="n"/>
      <c r="G78" s="7" t="n"/>
      <c r="H78" s="55" t="n"/>
    </row>
    <row r="79">
      <c r="A79" s="19" t="n"/>
      <c r="B79" s="7" t="n"/>
      <c r="C79" s="7" t="n"/>
      <c r="D79" s="7" t="n"/>
      <c r="E79" s="7" t="n"/>
      <c r="F79" s="7" t="n"/>
      <c r="G79" s="7" t="n"/>
      <c r="H79" s="55" t="n"/>
    </row>
    <row r="80">
      <c r="A80" s="19" t="n"/>
      <c r="B80" s="7" t="n"/>
      <c r="C80" s="7" t="n"/>
      <c r="D80" s="7" t="n"/>
      <c r="E80" s="7" t="n"/>
      <c r="F80" s="7" t="n"/>
      <c r="G80" s="7" t="n"/>
      <c r="H80" s="55" t="n"/>
    </row>
    <row r="81">
      <c r="A81" s="19" t="n"/>
      <c r="B81" s="7" t="n"/>
      <c r="C81" s="7" t="n"/>
      <c r="D81" s="7" t="n"/>
      <c r="E81" s="7" t="n"/>
      <c r="F81" s="7" t="n"/>
      <c r="G81" s="7" t="n"/>
      <c r="H81" s="55" t="n"/>
    </row>
    <row r="82">
      <c r="A82" s="19" t="n"/>
      <c r="B82" s="7" t="n"/>
      <c r="C82" s="7" t="n"/>
      <c r="D82" s="7" t="n"/>
      <c r="E82" s="7" t="n"/>
      <c r="F82" s="7" t="n"/>
      <c r="G82" s="7" t="n"/>
      <c r="H82" s="55" t="n"/>
    </row>
    <row r="83">
      <c r="A83" s="19" t="n"/>
      <c r="B83" s="7" t="n"/>
      <c r="C83" s="7" t="n"/>
      <c r="D83" s="7" t="n"/>
      <c r="E83" s="7" t="n"/>
      <c r="F83" s="7" t="n"/>
      <c r="G83" s="7" t="n"/>
      <c r="H83" s="55" t="n"/>
    </row>
    <row r="84">
      <c r="A84" s="19" t="n"/>
      <c r="B84" s="7" t="n"/>
      <c r="C84" s="7" t="n"/>
      <c r="D84" s="7" t="n"/>
      <c r="E84" s="7" t="n"/>
      <c r="F84" s="7" t="n"/>
      <c r="G84" s="7" t="n"/>
      <c r="H84" s="55" t="n"/>
    </row>
    <row r="85">
      <c r="A85" s="19" t="n"/>
      <c r="B85" s="7" t="n"/>
      <c r="C85" s="7" t="n"/>
      <c r="D85" s="7" t="n"/>
      <c r="E85" s="7" t="n"/>
      <c r="F85" s="7" t="n"/>
      <c r="G85" s="7" t="n"/>
      <c r="H85" s="55" t="n"/>
    </row>
    <row r="86">
      <c r="A86" s="19" t="n"/>
      <c r="B86" s="7" t="n"/>
      <c r="C86" s="7" t="n"/>
      <c r="D86" s="7" t="n"/>
      <c r="E86" s="7" t="n"/>
      <c r="F86" s="7" t="n"/>
      <c r="G86" s="7" t="n"/>
      <c r="H86" s="55" t="n"/>
    </row>
    <row r="87">
      <c r="A87" s="19" t="n"/>
      <c r="B87" s="7" t="n"/>
      <c r="C87" s="7" t="n"/>
      <c r="D87" s="7" t="n"/>
      <c r="E87" s="7" t="n"/>
      <c r="F87" s="7" t="n"/>
      <c r="G87" s="7" t="n"/>
      <c r="H87" s="55" t="n"/>
    </row>
    <row r="88">
      <c r="A88" s="19" t="n"/>
      <c r="B88" s="7" t="n"/>
      <c r="C88" s="7" t="n"/>
      <c r="D88" s="7" t="n"/>
      <c r="E88" s="7" t="n"/>
      <c r="F88" s="7" t="n"/>
      <c r="G88" s="7" t="n"/>
      <c r="H88" s="55" t="n"/>
    </row>
    <row r="89">
      <c r="A89" s="19" t="n"/>
      <c r="B89" s="7" t="n"/>
      <c r="C89" s="7" t="n"/>
      <c r="D89" s="7" t="n"/>
      <c r="E89" s="7" t="n"/>
      <c r="F89" s="7" t="n"/>
      <c r="G89" s="7" t="n"/>
      <c r="H89" s="55" t="n"/>
    </row>
    <row r="90">
      <c r="A90" s="19" t="n"/>
      <c r="B90" s="7" t="n"/>
      <c r="C90" s="7" t="n"/>
      <c r="D90" s="7" t="n"/>
      <c r="E90" s="7" t="n"/>
      <c r="F90" s="7" t="n"/>
      <c r="G90" s="7" t="n"/>
      <c r="H90" s="55" t="n"/>
    </row>
    <row r="91">
      <c r="A91" s="19" t="n"/>
      <c r="B91" s="7" t="n"/>
      <c r="C91" s="7" t="n"/>
      <c r="D91" s="7" t="n"/>
      <c r="E91" s="7" t="n"/>
      <c r="F91" s="7" t="n"/>
      <c r="G91" s="7" t="n"/>
      <c r="H91" s="55" t="n"/>
    </row>
    <row r="92">
      <c r="A92" s="19" t="n"/>
      <c r="B92" s="7" t="n"/>
      <c r="C92" s="7" t="n"/>
      <c r="D92" s="7" t="n"/>
      <c r="E92" s="7" t="n"/>
      <c r="F92" s="7" t="n"/>
      <c r="G92" s="7" t="n"/>
      <c r="H92" s="55" t="n"/>
    </row>
    <row r="93">
      <c r="A93" s="19" t="n"/>
      <c r="B93" s="7" t="n"/>
      <c r="C93" s="7" t="n"/>
      <c r="D93" s="7" t="n"/>
      <c r="E93" s="7" t="n"/>
      <c r="F93" s="7" t="n"/>
      <c r="G93" s="7" t="n"/>
      <c r="H93" s="55" t="n"/>
    </row>
    <row r="94">
      <c r="A94" s="19" t="n"/>
      <c r="B94" s="7" t="n"/>
      <c r="C94" s="7" t="n"/>
      <c r="D94" s="7" t="n"/>
      <c r="E94" s="7" t="n"/>
      <c r="F94" s="7" t="n"/>
      <c r="G94" s="7" t="n"/>
      <c r="H94" s="55" t="n"/>
    </row>
    <row r="95">
      <c r="A95" s="19" t="n"/>
      <c r="B95" s="7" t="n"/>
      <c r="C95" s="7" t="n"/>
      <c r="D95" s="7" t="n"/>
      <c r="E95" s="7" t="n"/>
      <c r="F95" s="7" t="n"/>
      <c r="G95" s="7" t="n"/>
      <c r="H95" s="55" t="n"/>
    </row>
    <row r="96">
      <c r="A96" s="19" t="n"/>
      <c r="B96" s="7" t="n"/>
      <c r="C96" s="7" t="n"/>
      <c r="D96" s="7" t="n"/>
      <c r="E96" s="7" t="n"/>
      <c r="F96" s="7" t="n"/>
      <c r="G96" s="7" t="n"/>
      <c r="H96" s="55" t="n"/>
    </row>
    <row r="97">
      <c r="A97" s="19" t="n"/>
      <c r="B97" s="7" t="n"/>
      <c r="C97" s="7" t="n"/>
      <c r="D97" s="7" t="n"/>
      <c r="E97" s="7" t="n"/>
      <c r="F97" s="7" t="n"/>
      <c r="G97" s="7" t="n"/>
      <c r="H97" s="55" t="n"/>
    </row>
    <row r="98">
      <c r="A98" s="19" t="n"/>
      <c r="B98" s="7" t="n"/>
      <c r="C98" s="7" t="n"/>
      <c r="D98" s="7" t="n"/>
      <c r="E98" s="7" t="n"/>
      <c r="F98" s="7" t="n"/>
      <c r="G98" s="7" t="n"/>
      <c r="H98" s="55" t="n"/>
    </row>
    <row r="99">
      <c r="A99" s="19" t="n"/>
      <c r="B99" s="7" t="n"/>
      <c r="C99" s="7" t="n"/>
      <c r="D99" s="7" t="n"/>
      <c r="E99" s="7" t="n"/>
      <c r="F99" s="7" t="n"/>
      <c r="G99" s="7" t="n"/>
      <c r="H99" s="55" t="n"/>
    </row>
    <row r="100">
      <c r="A100" s="19" t="n"/>
      <c r="B100" s="7" t="n"/>
      <c r="C100" s="7" t="n"/>
      <c r="D100" s="7" t="n"/>
      <c r="E100" s="7" t="n"/>
      <c r="F100" s="7" t="n"/>
      <c r="G100" s="7" t="n"/>
      <c r="H100" s="55" t="n"/>
    </row>
    <row r="101">
      <c r="A101" s="19" t="n"/>
      <c r="B101" s="7" t="n"/>
      <c r="C101" s="7" t="n"/>
      <c r="D101" s="7" t="n"/>
      <c r="E101" s="7" t="n"/>
      <c r="F101" s="7" t="n"/>
      <c r="G101" s="7" t="n"/>
      <c r="H101" s="55" t="n"/>
    </row>
    <row r="102">
      <c r="A102" s="19" t="n"/>
      <c r="B102" s="7" t="n"/>
      <c r="C102" s="7" t="n"/>
      <c r="D102" s="7" t="n"/>
      <c r="E102" s="7" t="n"/>
      <c r="F102" s="7" t="n"/>
      <c r="G102" s="7" t="n"/>
      <c r="H102" s="55" t="n"/>
    </row>
    <row r="103">
      <c r="A103" s="19" t="n"/>
      <c r="B103" s="7" t="n"/>
      <c r="C103" s="7" t="n"/>
      <c r="D103" s="7" t="n"/>
      <c r="E103" s="7" t="n"/>
      <c r="F103" s="7" t="n"/>
      <c r="G103" s="7" t="n"/>
      <c r="H103" s="55" t="n"/>
    </row>
    <row r="104">
      <c r="A104" s="19" t="n"/>
      <c r="B104" s="7" t="n"/>
      <c r="C104" s="7" t="n"/>
      <c r="D104" s="7" t="n"/>
      <c r="E104" s="7" t="n"/>
      <c r="F104" s="7" t="n"/>
      <c r="G104" s="7" t="n"/>
      <c r="H104" s="55" t="n"/>
    </row>
    <row r="105">
      <c r="A105" s="19" t="n"/>
      <c r="B105" s="7" t="n"/>
      <c r="C105" s="7" t="n"/>
      <c r="D105" s="7" t="n"/>
      <c r="E105" s="7" t="n"/>
      <c r="F105" s="7" t="n"/>
      <c r="G105" s="7" t="n"/>
      <c r="H105" s="55" t="n"/>
    </row>
    <row r="106">
      <c r="A106" s="19" t="n"/>
      <c r="B106" s="7" t="n"/>
      <c r="C106" s="7" t="n"/>
      <c r="D106" s="7" t="n"/>
      <c r="E106" s="7" t="n"/>
      <c r="F106" s="7" t="n"/>
      <c r="G106" s="7" t="n"/>
      <c r="H106" s="55" t="n"/>
    </row>
    <row r="107">
      <c r="A107" s="19" t="n"/>
      <c r="B107" s="7" t="n"/>
      <c r="C107" s="7" t="n"/>
      <c r="D107" s="7" t="n"/>
      <c r="E107" s="7" t="n"/>
      <c r="F107" s="7" t="n"/>
      <c r="G107" s="7" t="n"/>
      <c r="H107" s="55" t="n"/>
    </row>
    <row r="108">
      <c r="A108" s="19" t="n"/>
      <c r="B108" s="7" t="n"/>
      <c r="C108" s="7" t="n"/>
      <c r="D108" s="7" t="n"/>
      <c r="E108" s="7" t="n"/>
      <c r="F108" s="7" t="n"/>
      <c r="G108" s="7" t="n"/>
      <c r="H108" s="55" t="n"/>
    </row>
    <row r="109">
      <c r="A109" s="19" t="n"/>
      <c r="B109" s="7" t="n"/>
      <c r="C109" s="7" t="n"/>
      <c r="D109" s="7" t="n"/>
      <c r="E109" s="7" t="n"/>
      <c r="F109" s="7" t="n"/>
      <c r="G109" s="7" t="n"/>
      <c r="H109" s="55" t="n"/>
    </row>
    <row r="110">
      <c r="A110" s="19" t="n"/>
      <c r="B110" s="7" t="n"/>
      <c r="C110" s="7" t="n"/>
      <c r="D110" s="7" t="n"/>
      <c r="E110" s="7" t="n"/>
      <c r="F110" s="7" t="n"/>
      <c r="G110" s="7" t="n"/>
      <c r="H110" s="55" t="n"/>
    </row>
    <row r="111">
      <c r="A111" s="19" t="n"/>
      <c r="B111" s="7" t="n"/>
      <c r="C111" s="7" t="n"/>
      <c r="D111" s="7" t="n"/>
      <c r="E111" s="7" t="n"/>
      <c r="F111" s="7" t="n"/>
      <c r="G111" s="7" t="n"/>
      <c r="H111" s="55" t="n"/>
    </row>
    <row r="112">
      <c r="A112" s="19" t="n"/>
      <c r="B112" s="7" t="n"/>
      <c r="C112" s="7" t="n"/>
      <c r="D112" s="7" t="n"/>
      <c r="E112" s="7" t="n"/>
      <c r="F112" s="7" t="n"/>
      <c r="G112" s="7" t="n"/>
      <c r="H112" s="55" t="n"/>
    </row>
    <row r="113">
      <c r="A113" s="19" t="n"/>
      <c r="B113" s="7" t="n"/>
      <c r="C113" s="7" t="n"/>
      <c r="D113" s="7" t="n"/>
      <c r="E113" s="7" t="n"/>
      <c r="F113" s="7" t="n"/>
      <c r="G113" s="7" t="n"/>
      <c r="H113" s="55" t="n"/>
    </row>
    <row r="114">
      <c r="A114" s="19" t="n"/>
      <c r="B114" s="7" t="n"/>
      <c r="C114" s="7" t="n"/>
      <c r="D114" s="7" t="n"/>
      <c r="E114" s="7" t="n"/>
      <c r="F114" s="7" t="n"/>
      <c r="G114" s="7" t="n"/>
      <c r="H114" s="55" t="n"/>
    </row>
    <row r="115">
      <c r="A115" s="19" t="n"/>
      <c r="B115" s="7" t="n"/>
      <c r="C115" s="7" t="n"/>
      <c r="D115" s="7" t="n"/>
      <c r="E115" s="7" t="n"/>
      <c r="F115" s="7" t="n"/>
      <c r="G115" s="7" t="n"/>
      <c r="H115" s="55" t="n"/>
    </row>
    <row r="116">
      <c r="A116" s="19" t="n"/>
      <c r="B116" s="7" t="n"/>
      <c r="C116" s="7" t="n"/>
      <c r="D116" s="7" t="n"/>
      <c r="E116" s="7" t="n"/>
      <c r="F116" s="7" t="n"/>
      <c r="G116" s="7" t="n"/>
      <c r="H116" s="55" t="n"/>
    </row>
    <row r="117">
      <c r="A117" s="19" t="n"/>
      <c r="B117" s="7" t="n"/>
      <c r="C117" s="7" t="n"/>
      <c r="D117" s="7" t="n"/>
      <c r="E117" s="7" t="n"/>
      <c r="F117" s="7" t="n"/>
      <c r="G117" s="7" t="n"/>
      <c r="H117" s="55" t="n"/>
    </row>
    <row r="118">
      <c r="A118" s="19" t="n"/>
      <c r="B118" s="7" t="n"/>
      <c r="C118" s="7" t="n"/>
      <c r="D118" s="7" t="n"/>
      <c r="E118" s="7" t="n"/>
      <c r="F118" s="7" t="n"/>
      <c r="G118" s="7" t="n"/>
      <c r="H118" s="55" t="n"/>
    </row>
    <row r="119">
      <c r="A119" s="19" t="n"/>
      <c r="B119" s="7" t="n"/>
      <c r="C119" s="7" t="n"/>
      <c r="D119" s="7" t="n"/>
      <c r="E119" s="7" t="n"/>
      <c r="F119" s="7" t="n"/>
      <c r="G119" s="7" t="n"/>
      <c r="H119" s="55" t="n"/>
    </row>
    <row r="120">
      <c r="A120" s="19" t="n"/>
      <c r="B120" s="7" t="n"/>
      <c r="C120" s="7" t="n"/>
      <c r="D120" s="7" t="n"/>
      <c r="E120" s="7" t="n"/>
      <c r="F120" s="7" t="n"/>
      <c r="G120" s="7" t="n"/>
      <c r="H120" s="55" t="n"/>
    </row>
    <row r="121">
      <c r="A121" s="19" t="n"/>
      <c r="B121" s="7" t="n"/>
      <c r="C121" s="7" t="n"/>
      <c r="D121" s="7" t="n"/>
      <c r="E121" s="7" t="n"/>
      <c r="F121" s="7" t="n"/>
      <c r="G121" s="7" t="n"/>
      <c r="H121" s="55" t="n"/>
    </row>
    <row r="122">
      <c r="A122" s="19" t="n"/>
      <c r="B122" s="7" t="n"/>
      <c r="C122" s="7" t="n"/>
      <c r="D122" s="7" t="n"/>
      <c r="E122" s="7" t="n"/>
      <c r="F122" s="7" t="n"/>
      <c r="G122" s="7" t="n"/>
      <c r="H122" s="55" t="n"/>
    </row>
    <row r="123">
      <c r="A123" s="19" t="n"/>
      <c r="B123" s="7" t="n"/>
      <c r="C123" s="7" t="n"/>
      <c r="D123" s="7" t="n"/>
      <c r="E123" s="7" t="n"/>
      <c r="F123" s="7" t="n"/>
      <c r="G123" s="7" t="n"/>
      <c r="H123" s="55" t="n"/>
    </row>
    <row r="124">
      <c r="A124" s="19" t="n"/>
      <c r="B124" s="7" t="n"/>
      <c r="C124" s="7" t="n"/>
      <c r="D124" s="7" t="n"/>
      <c r="E124" s="7" t="n"/>
      <c r="F124" s="7" t="n"/>
      <c r="G124" s="7" t="n"/>
      <c r="H124" s="55" t="n"/>
    </row>
    <row r="125">
      <c r="A125" s="19" t="n"/>
      <c r="B125" s="7" t="n"/>
      <c r="C125" s="7" t="n"/>
      <c r="D125" s="7" t="n"/>
      <c r="E125" s="7" t="n"/>
      <c r="F125" s="7" t="n"/>
      <c r="G125" s="7" t="n"/>
      <c r="H125" s="55" t="n"/>
    </row>
    <row r="126">
      <c r="A126" s="19" t="n"/>
      <c r="B126" s="7" t="n"/>
      <c r="C126" s="7" t="n"/>
      <c r="D126" s="7" t="n"/>
      <c r="E126" s="7" t="n"/>
      <c r="F126" s="7" t="n"/>
      <c r="G126" s="7" t="n"/>
      <c r="H126" s="55" t="n"/>
    </row>
    <row r="127">
      <c r="A127" s="19" t="n"/>
      <c r="B127" s="7" t="n"/>
      <c r="C127" s="7" t="n"/>
      <c r="D127" s="7" t="n"/>
      <c r="E127" s="7" t="n"/>
      <c r="F127" s="7" t="n"/>
      <c r="G127" s="7" t="n"/>
      <c r="H127" s="55" t="n"/>
    </row>
    <row r="128">
      <c r="A128" s="19" t="n"/>
      <c r="B128" s="7" t="n"/>
      <c r="C128" s="7" t="n"/>
      <c r="D128" s="7" t="n"/>
      <c r="E128" s="7" t="n"/>
      <c r="F128" s="7" t="n"/>
      <c r="G128" s="7" t="n"/>
      <c r="H128" s="55" t="n"/>
    </row>
    <row r="129">
      <c r="A129" s="19" t="n"/>
      <c r="B129" s="7" t="n"/>
      <c r="C129" s="7" t="n"/>
      <c r="D129" s="7" t="n"/>
      <c r="E129" s="7" t="n"/>
      <c r="F129" s="7" t="n"/>
      <c r="G129" s="7" t="n"/>
      <c r="H129" s="55" t="n"/>
    </row>
    <row r="130">
      <c r="A130" s="19" t="n"/>
      <c r="B130" s="7" t="n"/>
      <c r="C130" s="7" t="n"/>
      <c r="D130" s="7" t="n"/>
      <c r="E130" s="7" t="n"/>
      <c r="F130" s="7" t="n"/>
      <c r="G130" s="7" t="n"/>
      <c r="H130" s="55" t="n"/>
    </row>
    <row r="131">
      <c r="A131" s="19" t="n"/>
      <c r="B131" s="7" t="n"/>
      <c r="C131" s="7" t="n"/>
      <c r="D131" s="7" t="n"/>
      <c r="E131" s="7" t="n"/>
      <c r="F131" s="7" t="n"/>
      <c r="G131" s="7" t="n"/>
      <c r="H131" s="55" t="n"/>
    </row>
    <row r="132">
      <c r="A132" s="19" t="n"/>
      <c r="B132" s="7" t="n"/>
      <c r="C132" s="7" t="n"/>
      <c r="D132" s="7" t="n"/>
      <c r="E132" s="7" t="n"/>
      <c r="F132" s="7" t="n"/>
      <c r="G132" s="7" t="n"/>
      <c r="H132" s="55" t="n"/>
    </row>
    <row r="133">
      <c r="A133" s="19" t="n"/>
      <c r="B133" s="7" t="n"/>
      <c r="C133" s="7" t="n"/>
      <c r="D133" s="7" t="n"/>
      <c r="E133" s="7" t="n"/>
      <c r="F133" s="7" t="n"/>
      <c r="G133" s="7" t="n"/>
      <c r="H133" s="55" t="n"/>
    </row>
    <row r="134">
      <c r="A134" s="19" t="n"/>
      <c r="B134" s="7" t="n"/>
      <c r="C134" s="7" t="n"/>
      <c r="D134" s="7" t="n"/>
      <c r="E134" s="7" t="n"/>
      <c r="F134" s="7" t="n"/>
      <c r="G134" s="7" t="n"/>
      <c r="H134" s="55" t="n"/>
    </row>
    <row r="135">
      <c r="A135" s="19" t="n"/>
      <c r="B135" s="7" t="n"/>
      <c r="C135" s="7" t="n"/>
      <c r="D135" s="7" t="n"/>
      <c r="E135" s="7" t="n"/>
      <c r="F135" s="7" t="n"/>
      <c r="G135" s="7" t="n"/>
      <c r="H135" s="55" t="n"/>
    </row>
    <row r="136">
      <c r="A136" s="19" t="n"/>
      <c r="B136" s="7" t="n"/>
      <c r="C136" s="7" t="n"/>
      <c r="D136" s="7" t="n"/>
      <c r="E136" s="7" t="n"/>
      <c r="F136" s="7" t="n"/>
      <c r="G136" s="7" t="n"/>
      <c r="H136" s="55" t="n"/>
    </row>
    <row r="137">
      <c r="A137" s="19" t="n"/>
      <c r="B137" s="7" t="n"/>
      <c r="C137" s="7" t="n"/>
      <c r="D137" s="7" t="n"/>
      <c r="E137" s="7" t="n"/>
      <c r="F137" s="7" t="n"/>
      <c r="G137" s="7" t="n"/>
      <c r="H137" s="55" t="n"/>
    </row>
    <row r="138">
      <c r="A138" s="19" t="n"/>
      <c r="B138" s="7" t="n"/>
      <c r="C138" s="7" t="n"/>
      <c r="D138" s="7" t="n"/>
      <c r="E138" s="7" t="n"/>
      <c r="F138" s="7" t="n"/>
      <c r="G138" s="7" t="n"/>
      <c r="H138" s="55" t="n"/>
    </row>
    <row r="139">
      <c r="A139" s="19" t="n"/>
      <c r="B139" s="7" t="n"/>
      <c r="C139" s="7" t="n"/>
      <c r="D139" s="7" t="n"/>
      <c r="E139" s="7" t="n"/>
      <c r="F139" s="7" t="n"/>
      <c r="G139" s="7" t="n"/>
      <c r="H139" s="55" t="n"/>
    </row>
    <row r="140">
      <c r="A140" s="19" t="n"/>
      <c r="B140" s="7" t="n"/>
      <c r="C140" s="7" t="n"/>
      <c r="D140" s="7" t="n"/>
      <c r="E140" s="7" t="n"/>
      <c r="F140" s="7" t="n"/>
      <c r="G140" s="7" t="n"/>
      <c r="H140" s="55" t="n"/>
    </row>
    <row r="141">
      <c r="A141" s="19" t="n"/>
      <c r="B141" s="7" t="n"/>
      <c r="C141" s="7" t="n"/>
      <c r="D141" s="7" t="n"/>
      <c r="E141" s="7" t="n"/>
      <c r="F141" s="7" t="n"/>
      <c r="G141" s="7" t="n"/>
      <c r="H141" s="55" t="n"/>
    </row>
    <row r="142">
      <c r="A142" s="19" t="n"/>
      <c r="B142" s="7" t="n"/>
      <c r="C142" s="7" t="n"/>
      <c r="D142" s="7" t="n"/>
      <c r="E142" s="7" t="n"/>
      <c r="F142" s="7" t="n"/>
      <c r="G142" s="7" t="n"/>
      <c r="H142" s="55" t="n"/>
    </row>
    <row r="143">
      <c r="A143" s="19" t="n"/>
      <c r="B143" s="7" t="n"/>
      <c r="C143" s="7" t="n"/>
      <c r="D143" s="7" t="n"/>
      <c r="E143" s="7" t="n"/>
      <c r="F143" s="7" t="n"/>
      <c r="G143" s="7" t="n"/>
      <c r="H143" s="55" t="n"/>
    </row>
    <row r="144">
      <c r="A144" s="19" t="n"/>
      <c r="B144" s="7" t="n"/>
      <c r="C144" s="7" t="n"/>
      <c r="D144" s="7" t="n"/>
      <c r="E144" s="7" t="n"/>
      <c r="F144" s="7" t="n"/>
      <c r="G144" s="7" t="n"/>
      <c r="H144" s="55" t="n"/>
    </row>
    <row r="145">
      <c r="A145" s="19" t="n"/>
      <c r="B145" s="7" t="n"/>
      <c r="C145" s="7" t="n"/>
      <c r="D145" s="7" t="n"/>
      <c r="E145" s="7" t="n"/>
      <c r="F145" s="7" t="n"/>
      <c r="G145" s="7" t="n"/>
      <c r="H145" s="55" t="n"/>
    </row>
    <row r="146">
      <c r="A146" s="19" t="n"/>
      <c r="B146" s="7" t="n"/>
      <c r="C146" s="7" t="n"/>
      <c r="D146" s="7" t="n"/>
      <c r="E146" s="7" t="n"/>
      <c r="F146" s="7" t="n"/>
      <c r="G146" s="7" t="n"/>
      <c r="H146" s="55" t="n"/>
    </row>
    <row r="147">
      <c r="A147" s="19" t="n"/>
      <c r="B147" s="7" t="n"/>
      <c r="C147" s="7" t="n"/>
      <c r="D147" s="7" t="n"/>
      <c r="E147" s="7" t="n"/>
      <c r="F147" s="7" t="n"/>
      <c r="G147" s="7" t="n"/>
      <c r="H147" s="55" t="n"/>
    </row>
    <row r="148">
      <c r="A148" s="19" t="n"/>
      <c r="B148" s="7" t="n"/>
      <c r="C148" s="7" t="n"/>
      <c r="D148" s="7" t="n"/>
      <c r="E148" s="7" t="n"/>
      <c r="F148" s="7" t="n"/>
      <c r="G148" s="7" t="n"/>
      <c r="H148" s="55" t="n"/>
    </row>
    <row r="149">
      <c r="A149" s="19" t="n"/>
      <c r="B149" s="7" t="n"/>
      <c r="C149" s="7" t="n"/>
      <c r="D149" s="7" t="n"/>
      <c r="E149" s="7" t="n"/>
      <c r="F149" s="7" t="n"/>
      <c r="G149" s="7" t="n"/>
      <c r="H149" s="55" t="n"/>
    </row>
    <row r="150">
      <c r="A150" s="19" t="n"/>
      <c r="B150" s="7" t="n"/>
      <c r="C150" s="7" t="n"/>
      <c r="D150" s="7" t="n"/>
      <c r="E150" s="7" t="n"/>
      <c r="F150" s="7" t="n"/>
      <c r="G150" s="7" t="n"/>
      <c r="H150" s="55" t="n"/>
    </row>
    <row r="151">
      <c r="A151" s="19" t="n"/>
      <c r="B151" s="7" t="n"/>
      <c r="C151" s="7" t="n"/>
      <c r="D151" s="7" t="n"/>
      <c r="E151" s="7" t="n"/>
      <c r="F151" s="7" t="n"/>
      <c r="G151" s="7" t="n"/>
      <c r="H151" s="55" t="n"/>
    </row>
    <row r="152">
      <c r="A152" s="19" t="n"/>
      <c r="B152" s="7" t="n"/>
      <c r="C152" s="7" t="n"/>
      <c r="D152" s="7" t="n"/>
      <c r="E152" s="7" t="n"/>
      <c r="F152" s="7" t="n"/>
      <c r="G152" s="7" t="n"/>
      <c r="H152" s="55" t="n"/>
    </row>
    <row r="153">
      <c r="A153" s="19" t="n"/>
      <c r="B153" s="7" t="n"/>
      <c r="C153" s="7" t="n"/>
      <c r="D153" s="7" t="n"/>
      <c r="E153" s="7" t="n"/>
      <c r="F153" s="7" t="n"/>
      <c r="G153" s="7" t="n"/>
      <c r="H153" s="55" t="n"/>
    </row>
    <row r="154">
      <c r="A154" s="19" t="n"/>
      <c r="B154" s="7" t="n"/>
      <c r="C154" s="7" t="n"/>
      <c r="D154" s="7" t="n"/>
      <c r="E154" s="7" t="n"/>
      <c r="F154" s="7" t="n"/>
      <c r="G154" s="7" t="n"/>
      <c r="H154" s="55" t="n"/>
    </row>
    <row r="155">
      <c r="A155" s="19" t="n"/>
      <c r="B155" s="7" t="n"/>
      <c r="C155" s="7" t="n"/>
      <c r="D155" s="7" t="n"/>
      <c r="E155" s="7" t="n"/>
      <c r="F155" s="7" t="n"/>
      <c r="G155" s="7" t="n"/>
      <c r="H155" s="55" t="n"/>
    </row>
    <row r="156">
      <c r="A156" s="19" t="n"/>
      <c r="B156" s="7" t="n"/>
      <c r="C156" s="7" t="n"/>
      <c r="D156" s="7" t="n"/>
      <c r="E156" s="7" t="n"/>
      <c r="F156" s="7" t="n"/>
      <c r="G156" s="7" t="n"/>
      <c r="H156" s="55" t="n"/>
    </row>
    <row r="157">
      <c r="A157" s="19" t="n"/>
      <c r="B157" s="7" t="n"/>
      <c r="C157" s="7" t="n"/>
      <c r="D157" s="7" t="n"/>
      <c r="E157" s="7" t="n"/>
      <c r="F157" s="7" t="n"/>
      <c r="G157" s="7" t="n"/>
      <c r="H157" s="55" t="n"/>
    </row>
    <row r="158">
      <c r="A158" s="19" t="n"/>
      <c r="B158" s="7" t="n"/>
      <c r="C158" s="7" t="n"/>
      <c r="D158" s="7" t="n"/>
      <c r="E158" s="7" t="n"/>
      <c r="F158" s="7" t="n"/>
      <c r="G158" s="7" t="n"/>
      <c r="H158" s="55" t="n"/>
    </row>
    <row r="159">
      <c r="A159" s="19" t="n"/>
      <c r="B159" s="7" t="n"/>
      <c r="C159" s="7" t="n"/>
      <c r="D159" s="7" t="n"/>
      <c r="E159" s="7" t="n"/>
      <c r="F159" s="7" t="n"/>
      <c r="G159" s="7" t="n"/>
      <c r="H159" s="55" t="n"/>
    </row>
    <row r="160">
      <c r="A160" s="19" t="n"/>
      <c r="B160" s="7" t="n"/>
      <c r="C160" s="7" t="n"/>
      <c r="D160" s="7" t="n"/>
      <c r="E160" s="7" t="n"/>
      <c r="F160" s="7" t="n"/>
      <c r="G160" s="7" t="n"/>
      <c r="H160" s="55" t="n"/>
    </row>
    <row r="161">
      <c r="A161" s="19" t="n"/>
      <c r="B161" s="7" t="n"/>
      <c r="C161" s="7" t="n"/>
      <c r="D161" s="7" t="n"/>
      <c r="E161" s="7" t="n"/>
      <c r="F161" s="7" t="n"/>
      <c r="G161" s="7" t="n"/>
      <c r="H161" s="55" t="n"/>
    </row>
    <row r="162">
      <c r="A162" s="19" t="n"/>
      <c r="B162" s="7" t="n"/>
      <c r="C162" s="7" t="n"/>
      <c r="D162" s="7" t="n"/>
      <c r="E162" s="7" t="n"/>
      <c r="F162" s="7" t="n"/>
      <c r="G162" s="7" t="n"/>
      <c r="H162" s="55" t="n"/>
    </row>
    <row r="163">
      <c r="A163" s="19" t="n"/>
      <c r="B163" s="7" t="n"/>
      <c r="C163" s="7" t="n"/>
      <c r="D163" s="7" t="n"/>
      <c r="E163" s="7" t="n"/>
      <c r="F163" s="7" t="n"/>
      <c r="G163" s="7" t="n"/>
      <c r="H163" s="55" t="n"/>
    </row>
    <row r="164">
      <c r="A164" s="19" t="n"/>
      <c r="B164" s="7" t="n"/>
      <c r="C164" s="7" t="n"/>
      <c r="D164" s="7" t="n"/>
      <c r="E164" s="7" t="n"/>
      <c r="F164" s="7" t="n"/>
      <c r="G164" s="7" t="n"/>
      <c r="H164" s="55" t="n"/>
    </row>
    <row r="165">
      <c r="A165" s="19" t="n"/>
      <c r="B165" s="7" t="n"/>
      <c r="C165" s="7" t="n"/>
      <c r="D165" s="7" t="n"/>
      <c r="E165" s="7" t="n"/>
      <c r="F165" s="7" t="n"/>
      <c r="G165" s="7" t="n"/>
      <c r="H165" s="55" t="n"/>
    </row>
    <row r="166">
      <c r="A166" s="19" t="n"/>
      <c r="B166" s="7" t="n"/>
      <c r="C166" s="7" t="n"/>
      <c r="D166" s="7" t="n"/>
      <c r="E166" s="7" t="n"/>
      <c r="F166" s="7" t="n"/>
      <c r="G166" s="7" t="n"/>
      <c r="H166" s="55" t="n"/>
    </row>
    <row r="167">
      <c r="A167" s="19" t="n"/>
      <c r="B167" s="7" t="n"/>
      <c r="C167" s="7" t="n"/>
      <c r="D167" s="7" t="n"/>
      <c r="E167" s="7" t="n"/>
      <c r="F167" s="7" t="n"/>
      <c r="G167" s="7" t="n"/>
      <c r="H167" s="55" t="n"/>
    </row>
    <row r="168">
      <c r="A168" s="19" t="n"/>
      <c r="B168" s="7" t="n"/>
      <c r="C168" s="7" t="n"/>
      <c r="D168" s="7" t="n"/>
      <c r="E168" s="7" t="n"/>
      <c r="F168" s="7" t="n"/>
      <c r="G168" s="7" t="n"/>
      <c r="H168" s="55" t="n"/>
    </row>
    <row r="169">
      <c r="A169" s="19" t="n"/>
      <c r="B169" s="7" t="n"/>
      <c r="C169" s="7" t="n"/>
      <c r="D169" s="7" t="n"/>
      <c r="E169" s="7" t="n"/>
      <c r="F169" s="7" t="n"/>
      <c r="G169" s="7" t="n"/>
      <c r="H169" s="55" t="n"/>
    </row>
    <row r="170">
      <c r="A170" s="19" t="n"/>
      <c r="B170" s="7" t="n"/>
      <c r="C170" s="7" t="n"/>
      <c r="D170" s="7" t="n"/>
      <c r="E170" s="7" t="n"/>
      <c r="F170" s="7" t="n"/>
      <c r="G170" s="7" t="n"/>
      <c r="H170" s="55" t="n"/>
    </row>
    <row r="171">
      <c r="A171" s="19" t="n"/>
      <c r="B171" s="7" t="n"/>
      <c r="C171" s="7" t="n"/>
      <c r="D171" s="7" t="n"/>
      <c r="E171" s="7" t="n"/>
      <c r="F171" s="7" t="n"/>
      <c r="G171" s="7" t="n"/>
      <c r="H171" s="55" t="n"/>
    </row>
    <row r="172">
      <c r="A172" s="19" t="n"/>
      <c r="B172" s="7" t="n"/>
      <c r="C172" s="7" t="n"/>
      <c r="D172" s="7" t="n"/>
      <c r="E172" s="7" t="n"/>
      <c r="F172" s="7" t="n"/>
      <c r="G172" s="7" t="n"/>
      <c r="H172" s="55" t="n"/>
    </row>
    <row r="173">
      <c r="A173" s="19" t="n"/>
      <c r="B173" s="7" t="n"/>
      <c r="C173" s="7" t="n"/>
      <c r="D173" s="7" t="n"/>
      <c r="E173" s="7" t="n"/>
      <c r="F173" s="7" t="n"/>
      <c r="G173" s="7" t="n"/>
      <c r="H173" s="55" t="n"/>
    </row>
    <row r="174">
      <c r="A174" s="19" t="n"/>
      <c r="B174" s="7" t="n"/>
      <c r="C174" s="7" t="n"/>
      <c r="D174" s="7" t="n"/>
      <c r="E174" s="7" t="n"/>
      <c r="F174" s="7" t="n"/>
      <c r="G174" s="7" t="n"/>
      <c r="H174" s="55" t="n"/>
    </row>
    <row r="175">
      <c r="A175" s="19" t="n"/>
      <c r="B175" s="7" t="n"/>
      <c r="C175" s="7" t="n"/>
      <c r="D175" s="7" t="n"/>
      <c r="E175" s="7" t="n"/>
      <c r="F175" s="7" t="n"/>
      <c r="G175" s="7" t="n"/>
      <c r="H175" s="55" t="n"/>
    </row>
    <row r="176">
      <c r="A176" s="19" t="n"/>
      <c r="B176" s="7" t="n"/>
      <c r="C176" s="7" t="n"/>
      <c r="D176" s="7" t="n"/>
      <c r="E176" s="7" t="n"/>
      <c r="F176" s="7" t="n"/>
      <c r="G176" s="7" t="n"/>
      <c r="H176" s="55" t="n"/>
    </row>
    <row r="177">
      <c r="A177" s="19" t="n"/>
      <c r="B177" s="7" t="n"/>
      <c r="C177" s="7" t="n"/>
      <c r="D177" s="7" t="n"/>
      <c r="E177" s="7" t="n"/>
      <c r="F177" s="7" t="n"/>
      <c r="G177" s="7" t="n"/>
      <c r="H177" s="55" t="n"/>
    </row>
    <row r="178">
      <c r="A178" s="19" t="n"/>
      <c r="B178" s="7" t="n"/>
      <c r="C178" s="7" t="n"/>
      <c r="D178" s="7" t="n"/>
      <c r="E178" s="7" t="n"/>
      <c r="F178" s="7" t="n"/>
      <c r="G178" s="7" t="n"/>
      <c r="H178" s="55" t="n"/>
    </row>
    <row r="179">
      <c r="A179" s="19" t="n"/>
      <c r="B179" s="7" t="n"/>
      <c r="C179" s="7" t="n"/>
      <c r="D179" s="7" t="n"/>
      <c r="E179" s="7" t="n"/>
      <c r="F179" s="7" t="n"/>
      <c r="G179" s="7" t="n"/>
      <c r="H179" s="55" t="n"/>
    </row>
    <row r="180">
      <c r="A180" s="19" t="n"/>
      <c r="B180" s="7" t="n"/>
      <c r="C180" s="7" t="n"/>
      <c r="D180" s="7" t="n"/>
      <c r="E180" s="7" t="n"/>
      <c r="F180" s="7" t="n"/>
      <c r="G180" s="7" t="n"/>
      <c r="H180" s="55" t="n"/>
    </row>
    <row r="181">
      <c r="A181" s="19" t="n"/>
      <c r="B181" s="7" t="n"/>
      <c r="C181" s="7" t="n"/>
      <c r="D181" s="7" t="n"/>
      <c r="E181" s="7" t="n"/>
      <c r="F181" s="7" t="n"/>
      <c r="G181" s="7" t="n"/>
      <c r="H181" s="55" t="n"/>
    </row>
    <row r="182">
      <c r="A182" s="19" t="n"/>
      <c r="B182" s="7" t="n"/>
      <c r="C182" s="7" t="n"/>
      <c r="D182" s="7" t="n"/>
      <c r="E182" s="7" t="n"/>
      <c r="F182" s="7" t="n"/>
      <c r="G182" s="7" t="n"/>
      <c r="H182" s="55" t="n"/>
    </row>
    <row r="183">
      <c r="A183" s="19" t="n"/>
      <c r="B183" s="7" t="n"/>
      <c r="C183" s="7" t="n"/>
      <c r="D183" s="7" t="n"/>
      <c r="E183" s="7" t="n"/>
      <c r="F183" s="7" t="n"/>
      <c r="G183" s="7" t="n"/>
      <c r="H183" s="55" t="n"/>
    </row>
    <row r="184">
      <c r="A184" s="19" t="n"/>
      <c r="B184" s="7" t="n"/>
      <c r="C184" s="7" t="n"/>
      <c r="D184" s="7" t="n"/>
      <c r="E184" s="7" t="n"/>
      <c r="F184" s="7" t="n"/>
      <c r="G184" s="7" t="n"/>
      <c r="H184" s="55" t="n"/>
    </row>
    <row r="185">
      <c r="A185" s="19" t="n"/>
      <c r="B185" s="7" t="n"/>
      <c r="C185" s="7" t="n"/>
      <c r="D185" s="7" t="n"/>
      <c r="E185" s="7" t="n"/>
      <c r="F185" s="7" t="n"/>
      <c r="G185" s="7" t="n"/>
      <c r="H185" s="55" t="n"/>
    </row>
    <row r="186">
      <c r="A186" s="19" t="n"/>
      <c r="B186" s="7" t="n"/>
      <c r="C186" s="7" t="n"/>
      <c r="D186" s="7" t="n"/>
      <c r="E186" s="7" t="n"/>
      <c r="F186" s="7" t="n"/>
      <c r="G186" s="7" t="n"/>
      <c r="H186" s="55" t="n"/>
    </row>
    <row r="187">
      <c r="A187" s="19" t="n"/>
      <c r="B187" s="7" t="n"/>
      <c r="C187" s="7" t="n"/>
      <c r="D187" s="7" t="n"/>
      <c r="E187" s="7" t="n"/>
      <c r="F187" s="7" t="n"/>
      <c r="G187" s="7" t="n"/>
      <c r="H187" s="55" t="n"/>
    </row>
    <row r="188">
      <c r="A188" s="19" t="n"/>
      <c r="B188" s="7" t="n"/>
      <c r="C188" s="7" t="n"/>
      <c r="D188" s="7" t="n"/>
      <c r="E188" s="7" t="n"/>
      <c r="F188" s="7" t="n"/>
      <c r="G188" s="7" t="n"/>
      <c r="H188" s="55" t="n"/>
    </row>
    <row r="189">
      <c r="A189" s="19" t="n"/>
      <c r="B189" s="7" t="n"/>
      <c r="C189" s="7" t="n"/>
      <c r="D189" s="7" t="n"/>
      <c r="E189" s="7" t="n"/>
      <c r="F189" s="7" t="n"/>
      <c r="G189" s="7" t="n"/>
      <c r="H189" s="55" t="n"/>
    </row>
    <row r="190">
      <c r="A190" s="19" t="n"/>
      <c r="B190" s="7" t="n"/>
      <c r="C190" s="7" t="n"/>
      <c r="D190" s="7" t="n"/>
      <c r="E190" s="7" t="n"/>
      <c r="F190" s="7" t="n"/>
      <c r="G190" s="7" t="n"/>
      <c r="H190" s="55" t="n"/>
    </row>
    <row r="191">
      <c r="A191" s="19" t="n"/>
      <c r="B191" s="7" t="n"/>
      <c r="C191" s="7" t="n"/>
      <c r="D191" s="7" t="n"/>
      <c r="E191" s="7" t="n"/>
      <c r="F191" s="7" t="n"/>
      <c r="G191" s="7" t="n"/>
      <c r="H191" s="55" t="n"/>
    </row>
    <row r="192">
      <c r="A192" s="19" t="n"/>
      <c r="B192" s="7" t="n"/>
      <c r="C192" s="7" t="n"/>
      <c r="D192" s="7" t="n"/>
      <c r="E192" s="7" t="n"/>
      <c r="F192" s="7" t="n"/>
      <c r="G192" s="7" t="n"/>
      <c r="H192" s="55" t="n"/>
    </row>
    <row r="193">
      <c r="A193" s="19" t="n"/>
      <c r="B193" s="7" t="n"/>
      <c r="C193" s="7" t="n"/>
      <c r="D193" s="7" t="n"/>
      <c r="E193" s="7" t="n"/>
      <c r="F193" s="7" t="n"/>
      <c r="G193" s="7" t="n"/>
      <c r="H193" s="55" t="n"/>
    </row>
    <row r="194">
      <c r="A194" s="19" t="n"/>
      <c r="B194" s="7" t="n"/>
      <c r="C194" s="7" t="n"/>
      <c r="D194" s="7" t="n"/>
      <c r="E194" s="7" t="n"/>
      <c r="F194" s="7" t="n"/>
      <c r="G194" s="7" t="n"/>
      <c r="H194" s="55" t="n"/>
    </row>
    <row r="195">
      <c r="A195" s="19" t="n"/>
      <c r="B195" s="7" t="n"/>
      <c r="C195" s="7" t="n"/>
      <c r="D195" s="7" t="n"/>
      <c r="E195" s="7" t="n"/>
      <c r="F195" s="7" t="n"/>
      <c r="G195" s="7" t="n"/>
      <c r="H195" s="55" t="n"/>
    </row>
    <row r="196">
      <c r="A196" s="19" t="n"/>
      <c r="B196" s="7" t="n"/>
      <c r="C196" s="7" t="n"/>
      <c r="D196" s="7" t="n"/>
      <c r="E196" s="7" t="n"/>
      <c r="F196" s="7" t="n"/>
      <c r="G196" s="7" t="n"/>
      <c r="H196" s="55" t="n"/>
    </row>
    <row r="197">
      <c r="A197" s="19" t="n"/>
      <c r="B197" s="7" t="n"/>
      <c r="C197" s="7" t="n"/>
      <c r="D197" s="7" t="n"/>
      <c r="E197" s="7" t="n"/>
      <c r="F197" s="7" t="n"/>
      <c r="G197" s="7" t="n"/>
      <c r="H197" s="55" t="n"/>
    </row>
    <row r="198">
      <c r="A198" s="19" t="n"/>
      <c r="B198" s="7" t="n"/>
      <c r="C198" s="7" t="n"/>
      <c r="D198" s="7" t="n"/>
      <c r="E198" s="7" t="n"/>
      <c r="F198" s="7" t="n"/>
      <c r="G198" s="7" t="n"/>
      <c r="H198" s="55" t="n"/>
    </row>
    <row r="199">
      <c r="A199" s="19" t="n"/>
      <c r="B199" s="7" t="n"/>
      <c r="C199" s="7" t="n"/>
      <c r="D199" s="7" t="n"/>
      <c r="E199" s="7" t="n"/>
      <c r="F199" s="7" t="n"/>
      <c r="G199" s="7" t="n"/>
      <c r="H199" s="55" t="n"/>
    </row>
    <row r="200">
      <c r="A200" s="19" t="n"/>
      <c r="B200" s="7" t="n"/>
      <c r="C200" s="7" t="n"/>
      <c r="D200" s="7" t="n"/>
      <c r="E200" s="7" t="n"/>
      <c r="F200" s="7" t="n"/>
      <c r="G200" s="7" t="n"/>
      <c r="H200" s="55" t="n"/>
    </row>
    <row r="201">
      <c r="A201" s="19" t="n"/>
      <c r="B201" s="7" t="n"/>
      <c r="C201" s="7" t="n"/>
      <c r="D201" s="7" t="n"/>
      <c r="E201" s="7" t="n"/>
      <c r="F201" s="7" t="n"/>
      <c r="G201" s="7" t="n"/>
      <c r="H201" s="55" t="n"/>
    </row>
    <row r="202">
      <c r="A202" s="19" t="n"/>
      <c r="B202" s="7" t="n"/>
      <c r="C202" s="7" t="n"/>
      <c r="D202" s="7" t="n"/>
      <c r="E202" s="7" t="n"/>
      <c r="F202" s="7" t="n"/>
      <c r="G202" s="7" t="n"/>
      <c r="H202" s="55" t="n"/>
    </row>
  </sheetData>
  <mergeCells count="1">
    <mergeCell ref="A1:H1"/>
  </mergeCells>
  <dataValidations count="1">
    <dataValidation sqref="D3:D202" showDropDown="0" showInputMessage="0" showErrorMessage="0" allowBlank="1" type="list">
      <formula1>=rng_Observaciones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4" customWidth="1" min="3" max="3"/>
    <col width="15" customWidth="1" min="4" max="4"/>
    <col width="22" customWidth="1" min="5" max="5"/>
    <col width="24" customWidth="1" min="6" max="6"/>
    <col width="24" customWidth="1" min="7" max="7"/>
    <col width="34" customWidth="1" min="8" max="8"/>
    <col width="14" customWidth="1" min="9" max="9"/>
  </cols>
  <sheetData>
    <row r="1">
      <c r="A1" s="17" t="inlineStr">
        <is>
          <t>FECHA/HORA</t>
        </is>
      </c>
      <c r="B1" s="17" t="inlineStr">
        <is>
          <t>USUARIO</t>
        </is>
      </c>
      <c r="C1" s="17" t="inlineStr">
        <is>
          <t>TRABAJADOR</t>
        </is>
      </c>
      <c r="D1" s="17" t="inlineStr">
        <is>
          <t>FECHA ASISTENCIA</t>
        </is>
      </c>
      <c r="E1" s="17" t="inlineStr">
        <is>
          <t>CAMPO MODIFICADO</t>
        </is>
      </c>
      <c r="F1" s="17" t="inlineStr">
        <is>
          <t>VALOR ANTERIOR</t>
        </is>
      </c>
      <c r="G1" s="17" t="inlineStr">
        <is>
          <t>VALOR NUEVO</t>
        </is>
      </c>
      <c r="H1" s="17" t="inlineStr">
        <is>
          <t>MOTIVO</t>
        </is>
      </c>
      <c r="I1" s="17" t="inlineStr">
        <is>
          <t>ORIGEN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24" customWidth="1" min="4" max="4"/>
    <col width="18" customWidth="1" min="5" max="5"/>
  </cols>
  <sheetData>
    <row r="1">
      <c r="A1" s="53" t="inlineStr">
        <is>
          <t>ALERTAS / INCONSISTENCIAS (se genera al validar)</t>
        </is>
      </c>
    </row>
    <row r="2">
      <c r="A2" s="17" t="inlineStr">
        <is>
          <t>#</t>
        </is>
      </c>
      <c r="B2" s="17" t="inlineStr">
        <is>
          <t>TIPO DE ALERTA</t>
        </is>
      </c>
      <c r="C2" s="17" t="inlineStr">
        <is>
          <t>DETALLE</t>
        </is>
      </c>
      <c r="D2" s="17" t="inlineStr">
        <is>
          <t>REFERENCIA</t>
        </is>
      </c>
      <c r="E2" s="17" t="inlineStr">
        <is>
          <t>FECHA DETECCION</t>
        </is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4" customWidth="1" min="4" max="4"/>
    <col width="8" customWidth="1" min="5" max="5"/>
    <col width="9" customWidth="1" min="6" max="6"/>
    <col width="7" customWidth="1" min="7" max="7"/>
    <col width="8" customWidth="1" min="8" max="8"/>
    <col width="7" customWidth="1" min="9" max="9"/>
    <col width="12" customWidth="1" min="10" max="10"/>
    <col width="11" customWidth="1" min="11" max="11"/>
    <col width="9" customWidth="1" min="12" max="12"/>
    <col width="10" customWidth="1" min="13" max="13"/>
    <col width="8" customWidth="1" min="14" max="14"/>
    <col width="9" customWidth="1" min="15" max="15"/>
    <col width="10" customWidth="1" min="16" max="16"/>
    <col width="26" customWidth="1" min="17" max="17"/>
    <col width="16" customWidth="1" min="18" max="18"/>
    <col width="24" customWidth="1" min="19" max="19"/>
  </cols>
  <sheetData>
    <row r="1">
      <c r="A1" s="50" t="inlineStr">
        <is>
          <t>PERIODO</t>
        </is>
      </c>
      <c r="B1" s="50" t="inlineStr">
        <is>
          <t>ID PERSONAL</t>
        </is>
      </c>
      <c r="C1" s="50" t="inlineStr">
        <is>
          <t>DNI</t>
        </is>
      </c>
      <c r="D1" s="50" t="inlineStr">
        <is>
          <t>APELLIDOS Y NOMBRES</t>
        </is>
      </c>
      <c r="E1" s="50" t="inlineStr">
        <is>
          <t>PUNTUAL</t>
        </is>
      </c>
      <c r="F1" s="50" t="inlineStr">
        <is>
          <t>TARDANZA</t>
        </is>
      </c>
      <c r="G1" s="50" t="inlineStr">
        <is>
          <t>FALTA</t>
        </is>
      </c>
      <c r="H1" s="50" t="inlineStr">
        <is>
          <t>PERMISO</t>
        </is>
      </c>
      <c r="I1" s="50" t="inlineStr">
        <is>
          <t>CLASE</t>
        </is>
      </c>
      <c r="J1" s="50" t="inlineStr">
        <is>
          <t>NO PUSO HUELLA</t>
        </is>
      </c>
      <c r="K1" s="50" t="inlineStr">
        <is>
          <t>DESC. MEDICO</t>
        </is>
      </c>
      <c r="L1" s="50" t="inlineStr">
        <is>
          <t>COMISION</t>
        </is>
      </c>
      <c r="M1" s="50" t="inlineStr">
        <is>
          <t>VACACIONES</t>
        </is>
      </c>
      <c r="N1" s="50" t="inlineStr">
        <is>
          <t>FERIADO</t>
        </is>
      </c>
      <c r="O1" s="50" t="inlineStr">
        <is>
          <t>DESCANSO</t>
        </is>
      </c>
      <c r="P1" s="50" t="inlineStr">
        <is>
          <t>DIAS TRABAJADOS</t>
        </is>
      </c>
      <c r="Q1" s="50" t="inlineStr">
        <is>
          <t>OBSERVACIONES</t>
        </is>
      </c>
      <c r="R1" s="50" t="inlineStr">
        <is>
          <t>FECHA CIERRE</t>
        </is>
      </c>
      <c r="S1" s="50" t="inlineStr">
        <is>
          <t>USUARIO CIERRE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0" customWidth="1" min="4" max="4"/>
    <col width="60" customWidth="1" min="5" max="5"/>
    <col width="26" customWidth="1" min="6" max="6"/>
  </cols>
  <sheetData>
    <row r="1">
      <c r="A1" s="17" t="inlineStr">
        <is>
          <t>FECHA</t>
        </is>
      </c>
      <c r="B1" s="17" t="inlineStr">
        <is>
          <t>HORA</t>
        </is>
      </c>
      <c r="C1" s="17" t="inlineStr">
        <is>
          <t>PROCEDIMIENTO</t>
        </is>
      </c>
      <c r="D1" s="17" t="inlineStr">
        <is>
          <t>N° ERROR</t>
        </is>
      </c>
      <c r="E1" s="17" t="inlineStr">
        <is>
          <t>DESCRIPCION</t>
        </is>
      </c>
      <c r="F1" s="17" t="inlineStr">
        <is>
          <t>USUARIO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2026-10-03T17:16:58Z</dcterms:created>
  <dcterms:modified xsi:type="dcterms:W3CDTF">2026-10-03T17:16:58Z</dcterms:modified>
</cp:coreProperties>
</file>